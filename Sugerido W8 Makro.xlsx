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ardila\Downloads\"/>
    </mc:Choice>
  </mc:AlternateContent>
  <xr:revisionPtr revIDLastSave="0" documentId="13_ncr:1_{8A9C50C0-2A56-47EB-9240-349A0C64379C}" xr6:coauthVersionLast="47" xr6:coauthVersionMax="47" xr10:uidLastSave="{00000000-0000-0000-0000-000000000000}"/>
  <bookViews>
    <workbookView xWindow="20370" yWindow="-120" windowWidth="29040" windowHeight="15720" xr2:uid="{583D9EC2-7853-4D34-9736-7467D638E573}"/>
  </bookViews>
  <sheets>
    <sheet name="Hoja1" sheetId="1" r:id="rId1"/>
    <sheet name="Hoja2" sheetId="2" r:id="rId2"/>
  </sheets>
  <definedNames>
    <definedName name="_xlnm._FilterDatabase" localSheetId="0" hidden="1">Hoja1!$A$1:$D$138</definedName>
    <definedName name="_xlnm._FilterDatabase" localSheetId="1" hidden="1">Hoja2!$H$1:$J$22</definedName>
  </definedNames>
  <calcPr calcId="191029"/>
  <pivotCaches>
    <pivotCache cacheId="83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2" i="1"/>
  <c r="E3" i="1"/>
  <c r="F3" i="1"/>
  <c r="G3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E91" i="1"/>
  <c r="F91" i="1"/>
  <c r="G91" i="1"/>
  <c r="E92" i="1"/>
  <c r="F92" i="1"/>
  <c r="G92" i="1"/>
  <c r="E93" i="1"/>
  <c r="F93" i="1"/>
  <c r="G93" i="1"/>
  <c r="E94" i="1"/>
  <c r="F94" i="1"/>
  <c r="G94" i="1"/>
  <c r="E95" i="1"/>
  <c r="F95" i="1"/>
  <c r="G95" i="1"/>
  <c r="E96" i="1"/>
  <c r="F96" i="1"/>
  <c r="G96" i="1"/>
  <c r="E97" i="1"/>
  <c r="F97" i="1"/>
  <c r="G97" i="1"/>
  <c r="E98" i="1"/>
  <c r="F98" i="1"/>
  <c r="G98" i="1"/>
  <c r="E99" i="1"/>
  <c r="F99" i="1"/>
  <c r="G99" i="1"/>
  <c r="E100" i="1"/>
  <c r="F100" i="1"/>
  <c r="G100" i="1"/>
  <c r="E101" i="1"/>
  <c r="F101" i="1"/>
  <c r="G101" i="1"/>
  <c r="E102" i="1"/>
  <c r="F102" i="1"/>
  <c r="G102" i="1"/>
  <c r="E103" i="1"/>
  <c r="F103" i="1"/>
  <c r="G103" i="1"/>
  <c r="E104" i="1"/>
  <c r="F104" i="1"/>
  <c r="G104" i="1"/>
  <c r="E105" i="1"/>
  <c r="F105" i="1"/>
  <c r="G105" i="1"/>
  <c r="E106" i="1"/>
  <c r="F106" i="1"/>
  <c r="G106" i="1"/>
  <c r="E107" i="1"/>
  <c r="F107" i="1"/>
  <c r="G107" i="1"/>
  <c r="E108" i="1"/>
  <c r="F108" i="1"/>
  <c r="G108" i="1"/>
  <c r="E109" i="1"/>
  <c r="F109" i="1"/>
  <c r="G109" i="1"/>
  <c r="E110" i="1"/>
  <c r="F110" i="1"/>
  <c r="G110" i="1"/>
  <c r="E111" i="1"/>
  <c r="F111" i="1"/>
  <c r="G111" i="1"/>
  <c r="E112" i="1"/>
  <c r="F112" i="1"/>
  <c r="G112" i="1"/>
  <c r="E113" i="1"/>
  <c r="F113" i="1"/>
  <c r="G113" i="1"/>
  <c r="E114" i="1"/>
  <c r="F114" i="1"/>
  <c r="G114" i="1"/>
  <c r="E115" i="1"/>
  <c r="F115" i="1"/>
  <c r="G115" i="1"/>
  <c r="E116" i="1"/>
  <c r="F116" i="1"/>
  <c r="G116" i="1"/>
  <c r="E117" i="1"/>
  <c r="F117" i="1"/>
  <c r="G117" i="1"/>
  <c r="E118" i="1"/>
  <c r="F118" i="1"/>
  <c r="G118" i="1"/>
  <c r="E119" i="1"/>
  <c r="F119" i="1"/>
  <c r="G119" i="1"/>
  <c r="E120" i="1"/>
  <c r="F120" i="1"/>
  <c r="G120" i="1"/>
  <c r="E121" i="1"/>
  <c r="F121" i="1"/>
  <c r="G121" i="1"/>
  <c r="E122" i="1"/>
  <c r="F122" i="1"/>
  <c r="G122" i="1"/>
  <c r="E123" i="1"/>
  <c r="F123" i="1"/>
  <c r="G123" i="1"/>
  <c r="E124" i="1"/>
  <c r="F124" i="1"/>
  <c r="G124" i="1"/>
  <c r="E125" i="1"/>
  <c r="F125" i="1"/>
  <c r="G125" i="1"/>
  <c r="E126" i="1"/>
  <c r="F126" i="1"/>
  <c r="G126" i="1"/>
  <c r="E127" i="1"/>
  <c r="F127" i="1"/>
  <c r="G127" i="1"/>
  <c r="E128" i="1"/>
  <c r="F128" i="1"/>
  <c r="G128" i="1"/>
  <c r="E129" i="1"/>
  <c r="F129" i="1"/>
  <c r="G129" i="1"/>
  <c r="E130" i="1"/>
  <c r="F130" i="1"/>
  <c r="G130" i="1"/>
  <c r="E131" i="1"/>
  <c r="F131" i="1"/>
  <c r="G131" i="1"/>
  <c r="E132" i="1"/>
  <c r="F132" i="1"/>
  <c r="G132" i="1"/>
  <c r="E133" i="1"/>
  <c r="F133" i="1"/>
  <c r="G133" i="1"/>
  <c r="E134" i="1"/>
  <c r="F134" i="1"/>
  <c r="G134" i="1"/>
  <c r="E135" i="1"/>
  <c r="F135" i="1"/>
  <c r="G135" i="1"/>
  <c r="E136" i="1"/>
  <c r="F136" i="1"/>
  <c r="G136" i="1"/>
  <c r="E137" i="1"/>
  <c r="F137" i="1"/>
  <c r="G137" i="1"/>
  <c r="E138" i="1"/>
  <c r="F138" i="1"/>
  <c r="G138" i="1"/>
  <c r="G2" i="1"/>
  <c r="F2" i="1"/>
  <c r="E2" i="1"/>
</calcChain>
</file>

<file path=xl/sharedStrings.xml><?xml version="1.0" encoding="utf-8"?>
<sst xmlns="http://schemas.openxmlformats.org/spreadsheetml/2006/main" count="417" uniqueCount="113">
  <si>
    <t>T</t>
  </si>
  <si>
    <t>Tienda</t>
  </si>
  <si>
    <t>Descripción</t>
  </si>
  <si>
    <t>10 - CARTAGENA</t>
  </si>
  <si>
    <t>NECTAR CALIFORNIA SURTIDO 300mlX6u</t>
  </si>
  <si>
    <t>18 - ESTACION POBLADO</t>
  </si>
  <si>
    <t>23 - ALTO PRADO</t>
  </si>
  <si>
    <t>1 - VILLA DEL RIO - BOGOTA</t>
  </si>
  <si>
    <t>NECTAR CALIFORNIA SURTIDO 200ml PAGUE 7 LLEVE 10u</t>
  </si>
  <si>
    <t>4 - VILLA SANTOS - BARRANQUILLA</t>
  </si>
  <si>
    <t>9 - IBAGUE</t>
  </si>
  <si>
    <t>11 - MAKRO CALLE 30</t>
  </si>
  <si>
    <t>16 - MONTERIA</t>
  </si>
  <si>
    <t>22 - VALLEDUPAR</t>
  </si>
  <si>
    <t>14 - SANTA MARTA</t>
  </si>
  <si>
    <t>NECTAR CALIFORNIA MANZANA BOT 900ml</t>
  </si>
  <si>
    <t>NECTAR CALIFORNIA DURAZNO 900ml</t>
  </si>
  <si>
    <t>8 - AVENIDA BOYACA - BOGOTA</t>
  </si>
  <si>
    <t>5 - SAN JUAN - MEDELLIN</t>
  </si>
  <si>
    <t>NECTAR CALIFORNIA SURTIDO 900mlx3u</t>
  </si>
  <si>
    <t>NECTAR CALIFORNIA PERA 900ml</t>
  </si>
  <si>
    <t>3 - VALLE DEL LILI - CALI</t>
  </si>
  <si>
    <t>20 - CAJICA</t>
  </si>
  <si>
    <t>NECTAR CALIFORNIA MANZANA 900ml</t>
  </si>
  <si>
    <t>JUGO FRESKY PUNCH SURTIDO 200mlX12u</t>
  </si>
  <si>
    <t>TE CALIFORNIA SURTIDO AMAZTE 200mlX6u</t>
  </si>
  <si>
    <t>2 - CUMARA - BOGOTA</t>
  </si>
  <si>
    <t>17 - TUNJA</t>
  </si>
  <si>
    <t>AVENA ALGARRA CANELA CAJA 200gX6u</t>
  </si>
  <si>
    <t>AVENA ALGARRA CANELA PAGUE 7 LLEVE 8 200ml</t>
  </si>
  <si>
    <t>AVENA ALGARRA NATURAL CAJA 200gX6u</t>
  </si>
  <si>
    <t>AVENA ALGARRA TRADICIONAL PAGUE 7 LLEVE 8 200ml</t>
  </si>
  <si>
    <t>CREMA DE LECHE CREMAX BOLSA 900ml</t>
  </si>
  <si>
    <t>CREMA DE LECHE LA FINCA BOLSA 900ml</t>
  </si>
  <si>
    <t>7 - DOS QUEBRADAS - PEREIRA</t>
  </si>
  <si>
    <t>12 - VILLAVICENCIO</t>
  </si>
  <si>
    <t>13 - CALI - NORTE</t>
  </si>
  <si>
    <t>15 - CUCUTA</t>
  </si>
  <si>
    <t>19 - FLORIDABLANCA</t>
  </si>
  <si>
    <t>Factor</t>
  </si>
  <si>
    <t>Litros</t>
  </si>
  <si>
    <t>Unidades</t>
  </si>
  <si>
    <t>Material</t>
  </si>
  <si>
    <t>F47006</t>
  </si>
  <si>
    <t>F47013</t>
  </si>
  <si>
    <t>F47649</t>
  </si>
  <si>
    <t>F47427</t>
  </si>
  <si>
    <t>F48025</t>
  </si>
  <si>
    <t>F48010</t>
  </si>
  <si>
    <t>F44225</t>
  </si>
  <si>
    <t>F48669</t>
  </si>
  <si>
    <t>F48667</t>
  </si>
  <si>
    <t>F48614</t>
  </si>
  <si>
    <t>F48668</t>
  </si>
  <si>
    <t>F48809</t>
  </si>
  <si>
    <t>F48739</t>
  </si>
  <si>
    <t>F48670</t>
  </si>
  <si>
    <t>F44226</t>
  </si>
  <si>
    <t>Texto Breve Material</t>
  </si>
  <si>
    <t>FRESKY CALIFORNIA SUR PUN TB 200ML 10X12</t>
  </si>
  <si>
    <t>TE CALIFORNIA SURTIDO 200 ML TB X6</t>
  </si>
  <si>
    <t>AVENA ALGARRA CANELA TB 200ML X6</t>
  </si>
  <si>
    <t>AVENA ALGARRA CANELA BS 200ML 7X8</t>
  </si>
  <si>
    <t>AVENA ALGARRA TRADICIONAL BS 200ML 7X8</t>
  </si>
  <si>
    <t>AVENA ALGARRA TRADICIONAL TB 200ML X6</t>
  </si>
  <si>
    <t>CML DE LA FINCA UHT BS 900 GR</t>
  </si>
  <si>
    <t>CML CREMAX UHT BS 900 GR</t>
  </si>
  <si>
    <t>NECTAR MANZANA BOT 900 ML</t>
  </si>
  <si>
    <t>NECTAR CALIFORNIA MANZANA TB 900ML</t>
  </si>
  <si>
    <t>NECTAR CALIFORNIA PERA TB 900ML</t>
  </si>
  <si>
    <t>NECTAR CALIFORNIA DURAZNO TB 900ML</t>
  </si>
  <si>
    <t>NECTAR CALIFORNIA SURT TB 900ML X3</t>
  </si>
  <si>
    <t>NECTAR CALIFORNIA SURT. PET X6 300 ML</t>
  </si>
  <si>
    <t>NECTAR CALIFORNIA SURTIDO TB 200ML 7X10</t>
  </si>
  <si>
    <t>Texto Breve</t>
  </si>
  <si>
    <t>VILLA DEL RIO</t>
  </si>
  <si>
    <t>CUMARA</t>
  </si>
  <si>
    <t>VALLE DEL LILI</t>
  </si>
  <si>
    <t>VILLA SANTOS</t>
  </si>
  <si>
    <t>SAN JUAN</t>
  </si>
  <si>
    <t>DOS QUEBRADAS</t>
  </si>
  <si>
    <t>AVENIDA BOYACA</t>
  </si>
  <si>
    <t>IBAGUE</t>
  </si>
  <si>
    <t>CARTAGENA</t>
  </si>
  <si>
    <t>MAKRO CALLE 30</t>
  </si>
  <si>
    <t>VILLAVICENCIO</t>
  </si>
  <si>
    <t>SANTA MARTA</t>
  </si>
  <si>
    <t>CUCUTA</t>
  </si>
  <si>
    <t>MONTERIA</t>
  </si>
  <si>
    <t>TUNJA</t>
  </si>
  <si>
    <t>ESTACION POBLADO</t>
  </si>
  <si>
    <t>FLORIDABLANCA</t>
  </si>
  <si>
    <t>CAJICA</t>
  </si>
  <si>
    <t>VALLEDUPAR</t>
  </si>
  <si>
    <t>ALTO PRADO</t>
  </si>
  <si>
    <t>CALI NORTE</t>
  </si>
  <si>
    <t>Oficina</t>
  </si>
  <si>
    <t>CO02</t>
  </si>
  <si>
    <t>CO15</t>
  </si>
  <si>
    <t>CO05</t>
  </si>
  <si>
    <t>CO11</t>
  </si>
  <si>
    <t>CO16</t>
  </si>
  <si>
    <t>CO17</t>
  </si>
  <si>
    <t>CO09</t>
  </si>
  <si>
    <t>CO04</t>
  </si>
  <si>
    <t>CO08</t>
  </si>
  <si>
    <t>CO13</t>
  </si>
  <si>
    <t>CO06</t>
  </si>
  <si>
    <t>CO03</t>
  </si>
  <si>
    <t>CO12</t>
  </si>
  <si>
    <t>CO07</t>
  </si>
  <si>
    <t xml:space="preserve">Litros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</si>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</sst>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9" fontId="0" fillId="0" borderId="0" xfId="0" applyNumberFormat="1"/>
    <xf numFmtId="0" fontId="0" fillId="0" borderId="0" xfId="0" pivotButton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dila Diaz, Brando Yobany (Gloria Colombia S.A.S)" refreshedDate="46071.737392939816" createdVersion="8" refreshedVersion="8" minRefreshableVersion="3" recordCount="137" xr:uid="{0FF875EC-733A-4266-A972-56F69406B750}">
  <cacheSource type="worksheet">
    <worksheetSource ref="A1:H138" sheet="Hoja1"/>
  </cacheSource>
  <cacheFields count="8">
    <cacheField name="T" numFmtId="0">
      <sharedItems containsSemiMixedTypes="0" containsString="0" containsNumber="1" containsInteger="1" minValue="1" maxValue="23" count="21">
        <n v="1"/>
        <n v="2"/>
        <n v="3"/>
        <n v="4"/>
        <n v="5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2"/>
        <n v="23"/>
      </sharedItems>
    </cacheField>
    <cacheField name="Tienda" numFmtId="0">
      <sharedItems count="21">
        <s v="1 - VILLA DEL RIO - BOGOTA"/>
        <s v="2 - CUMARA - BOGOTA"/>
        <s v="3 - VALLE DEL LILI - CALI"/>
        <s v="4 - VILLA SANTOS - BARRANQUILLA"/>
        <s v="5 - SAN JUAN - MEDELLIN"/>
        <s v="7 - DOS QUEBRADAS - PEREIRA"/>
        <s v="8 - AVENIDA BOYACA - BOGOTA"/>
        <s v="9 - IBAGUE"/>
        <s v="10 - CARTAGENA"/>
        <s v="11 - MAKRO CALLE 30"/>
        <s v="12 - VILLAVICENCIO"/>
        <s v="13 - CALI - NORTE"/>
        <s v="14 - SANTA MARTA"/>
        <s v="15 - CUCUTA"/>
        <s v="16 - MONTERIA"/>
        <s v="17 - TUNJA"/>
        <s v="18 - ESTACION POBLADO"/>
        <s v="19 - FLORIDABLANCA"/>
        <s v="20 - CAJICA"/>
        <s v="22 - VALLEDUPAR"/>
        <s v="23 - ALTO PRADO"/>
      </sharedItems>
    </cacheField>
    <cacheField name="Descripción" numFmtId="0">
      <sharedItems/>
    </cacheField>
    <cacheField name="Unidades" numFmtId="0">
      <sharedItems containsSemiMixedTypes="0" containsString="0" containsNumber="1" containsInteger="1" minValue="5" maxValue="400"/>
    </cacheField>
    <cacheField name="Material" numFmtId="0">
      <sharedItems count="15">
        <s v="F48809"/>
        <s v="F48669"/>
        <s v="F48668"/>
        <s v="F44225"/>
        <s v="F44226"/>
        <s v="F47006"/>
        <s v="F47013"/>
        <s v="F47649"/>
        <s v="F47427"/>
        <s v="F48667"/>
        <s v="F48010"/>
        <s v="F48025"/>
        <s v="F48670"/>
        <s v="F48739"/>
        <s v="F48614"/>
      </sharedItems>
    </cacheField>
    <cacheField name="Texto Breve" numFmtId="0">
      <sharedItems count="15">
        <s v="NECTAR CALIFORNIA SURTIDO TB 200ML 7X10"/>
        <s v="NECTAR CALIFORNIA DURAZNO TB 900ML"/>
        <s v="NECTAR CALIFORNIA PERA TB 900ML"/>
        <s v="FRESKY CALIFORNIA SUR PUN TB 200ML 10X12"/>
        <s v="TE CALIFORNIA SURTIDO 200 ML TB X6"/>
        <s v="AVENA ALGARRA CANELA TB 200ML X6"/>
        <s v="AVENA ALGARRA CANELA BS 200ML 7X8"/>
        <s v="AVENA ALGARRA TRADICIONAL TB 200ML X6"/>
        <s v="AVENA ALGARRA TRADICIONAL BS 200ML 7X8"/>
        <s v="NECTAR CALIFORNIA MANZANA TB 900ML"/>
        <s v="CML DE LA FINCA UHT BS 900 GR"/>
        <s v="CML CREMAX UHT BS 900 GR"/>
        <s v="NECTAR CALIFORNIA SURT TB 900ML X3"/>
        <s v="NECTAR CALIFORNIA SURT. PET X6 300 ML"/>
        <s v="NECTAR MANZANA BOT 900 ML"/>
      </sharedItems>
    </cacheField>
    <cacheField name="Litros" numFmtId="0">
      <sharedItems containsSemiMixedTypes="0" containsString="0" containsNumber="1" minValue="6" maxValue="720"/>
    </cacheField>
    <cacheField name="Oficina" numFmtId="0">
      <sharedItems count="14">
        <s v="CO02"/>
        <s v="CO15"/>
        <s v="CO05"/>
        <s v="CO11"/>
        <s v="CO16"/>
        <s v="CO17"/>
        <s v="CO09"/>
        <s v="CO04"/>
        <s v="CO08"/>
        <s v="CO13"/>
        <s v="CO06"/>
        <s v="CO03"/>
        <s v="CO12"/>
        <s v="CO0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x v="0"/>
    <x v="0"/>
    <s v="NECTAR CALIFORNIA SURTIDO 200ml PAGUE 7 LLEVE 10u"/>
    <n v="200"/>
    <x v="0"/>
    <x v="0"/>
    <n v="400"/>
    <x v="0"/>
  </r>
  <r>
    <x v="0"/>
    <x v="0"/>
    <s v="NECTAR CALIFORNIA DURAZNO 900ml"/>
    <n v="24"/>
    <x v="1"/>
    <x v="1"/>
    <n v="21.6"/>
    <x v="0"/>
  </r>
  <r>
    <x v="0"/>
    <x v="0"/>
    <s v="NECTAR CALIFORNIA PERA 900ml"/>
    <n v="24"/>
    <x v="2"/>
    <x v="2"/>
    <n v="21.6"/>
    <x v="0"/>
  </r>
  <r>
    <x v="0"/>
    <x v="0"/>
    <s v="JUGO FRESKY PUNCH SURTIDO 200mlX12u"/>
    <n v="100"/>
    <x v="3"/>
    <x v="3"/>
    <n v="240"/>
    <x v="0"/>
  </r>
  <r>
    <x v="0"/>
    <x v="0"/>
    <s v="TE CALIFORNIA SURTIDO AMAZTE 200mlX6u"/>
    <n v="100"/>
    <x v="4"/>
    <x v="4"/>
    <n v="120"/>
    <x v="0"/>
  </r>
  <r>
    <x v="0"/>
    <x v="0"/>
    <s v="AVENA ALGARRA CANELA CAJA 200gX6u"/>
    <n v="15"/>
    <x v="5"/>
    <x v="5"/>
    <n v="18"/>
    <x v="0"/>
  </r>
  <r>
    <x v="0"/>
    <x v="0"/>
    <s v="AVENA ALGARRA CANELA PAGUE 7 LLEVE 8 200ml"/>
    <n v="12"/>
    <x v="6"/>
    <x v="6"/>
    <n v="19.200000000000003"/>
    <x v="0"/>
  </r>
  <r>
    <x v="0"/>
    <x v="0"/>
    <s v="AVENA ALGARRA NATURAL CAJA 200gX6u"/>
    <n v="10"/>
    <x v="7"/>
    <x v="7"/>
    <n v="12"/>
    <x v="0"/>
  </r>
  <r>
    <x v="0"/>
    <x v="0"/>
    <s v="AVENA ALGARRA TRADICIONAL PAGUE 7 LLEVE 8 200ml"/>
    <n v="10"/>
    <x v="8"/>
    <x v="8"/>
    <n v="16"/>
    <x v="0"/>
  </r>
  <r>
    <x v="1"/>
    <x v="1"/>
    <s v="TE CALIFORNIA SURTIDO AMAZTE 200mlX6u"/>
    <n v="60"/>
    <x v="4"/>
    <x v="4"/>
    <n v="72"/>
    <x v="0"/>
  </r>
  <r>
    <x v="1"/>
    <x v="1"/>
    <s v="AVENA ALGARRA CANELA CAJA 200gX6u"/>
    <n v="12"/>
    <x v="5"/>
    <x v="5"/>
    <n v="14.399999999999999"/>
    <x v="0"/>
  </r>
  <r>
    <x v="1"/>
    <x v="1"/>
    <s v="AVENA ALGARRA CANELA PAGUE 7 LLEVE 8 200ml"/>
    <n v="24"/>
    <x v="6"/>
    <x v="6"/>
    <n v="38.400000000000006"/>
    <x v="0"/>
  </r>
  <r>
    <x v="1"/>
    <x v="1"/>
    <s v="AVENA ALGARRA NATURAL CAJA 200gX6u"/>
    <n v="10"/>
    <x v="7"/>
    <x v="7"/>
    <n v="12"/>
    <x v="0"/>
  </r>
  <r>
    <x v="1"/>
    <x v="1"/>
    <s v="AVENA ALGARRA TRADICIONAL PAGUE 7 LLEVE 8 200ml"/>
    <n v="10"/>
    <x v="8"/>
    <x v="8"/>
    <n v="16"/>
    <x v="0"/>
  </r>
  <r>
    <x v="2"/>
    <x v="2"/>
    <s v="NECTAR CALIFORNIA PERA 900ml"/>
    <n v="24"/>
    <x v="2"/>
    <x v="2"/>
    <n v="21.6"/>
    <x v="1"/>
  </r>
  <r>
    <x v="2"/>
    <x v="2"/>
    <s v="NECTAR CALIFORNIA MANZANA 900ml"/>
    <n v="48"/>
    <x v="9"/>
    <x v="9"/>
    <n v="43.2"/>
    <x v="1"/>
  </r>
  <r>
    <x v="2"/>
    <x v="2"/>
    <s v="AVENA ALGARRA CANELA PAGUE 7 LLEVE 8 200ml"/>
    <n v="12"/>
    <x v="6"/>
    <x v="6"/>
    <n v="19.200000000000003"/>
    <x v="1"/>
  </r>
  <r>
    <x v="2"/>
    <x v="2"/>
    <s v="CREMA DE LECHE LA FINCA BOLSA 900ml"/>
    <n v="300"/>
    <x v="10"/>
    <x v="10"/>
    <n v="270"/>
    <x v="1"/>
  </r>
  <r>
    <x v="2"/>
    <x v="2"/>
    <s v="AVENA ALGARRA NATURAL CAJA 200gX6u"/>
    <n v="10"/>
    <x v="7"/>
    <x v="7"/>
    <n v="12"/>
    <x v="1"/>
  </r>
  <r>
    <x v="2"/>
    <x v="2"/>
    <s v="AVENA ALGARRA TRADICIONAL PAGUE 7 LLEVE 8 200ml"/>
    <n v="12"/>
    <x v="8"/>
    <x v="8"/>
    <n v="19.200000000000003"/>
    <x v="1"/>
  </r>
  <r>
    <x v="2"/>
    <x v="2"/>
    <s v="CREMA DE LECHE CREMAX BOLSA 900ml"/>
    <n v="100"/>
    <x v="11"/>
    <x v="11"/>
    <n v="90"/>
    <x v="1"/>
  </r>
  <r>
    <x v="3"/>
    <x v="3"/>
    <s v="NECTAR CALIFORNIA SURTIDO 200ml PAGUE 7 LLEVE 10u"/>
    <n v="300"/>
    <x v="0"/>
    <x v="0"/>
    <n v="600"/>
    <x v="2"/>
  </r>
  <r>
    <x v="3"/>
    <x v="3"/>
    <s v="NECTAR CALIFORNIA PERA 900ml"/>
    <n v="24"/>
    <x v="2"/>
    <x v="2"/>
    <n v="21.6"/>
    <x v="2"/>
  </r>
  <r>
    <x v="3"/>
    <x v="3"/>
    <s v="NECTAR CALIFORNIA MANZANA 900ml"/>
    <n v="24"/>
    <x v="9"/>
    <x v="9"/>
    <n v="21.6"/>
    <x v="2"/>
  </r>
  <r>
    <x v="3"/>
    <x v="3"/>
    <s v="AVENA ALGARRA CANELA CAJA 200gX6u"/>
    <n v="10"/>
    <x v="5"/>
    <x v="5"/>
    <n v="12"/>
    <x v="2"/>
  </r>
  <r>
    <x v="3"/>
    <x v="3"/>
    <s v="AVENA ALGARRA CANELA PAGUE 7 LLEVE 8 200ml"/>
    <n v="12"/>
    <x v="6"/>
    <x v="6"/>
    <n v="19.200000000000003"/>
    <x v="2"/>
  </r>
  <r>
    <x v="3"/>
    <x v="3"/>
    <s v="AVENA ALGARRA NATURAL CAJA 200gX6u"/>
    <n v="10"/>
    <x v="7"/>
    <x v="7"/>
    <n v="12"/>
    <x v="2"/>
  </r>
  <r>
    <x v="3"/>
    <x v="3"/>
    <s v="CREMA DE LECHE CREMAX BOLSA 900ml"/>
    <n v="100"/>
    <x v="11"/>
    <x v="11"/>
    <n v="90"/>
    <x v="2"/>
  </r>
  <r>
    <x v="3"/>
    <x v="3"/>
    <s v="CREMA DE LECHE LA FINCA BOLSA 900ml"/>
    <n v="100"/>
    <x v="10"/>
    <x v="10"/>
    <n v="90"/>
    <x v="2"/>
  </r>
  <r>
    <x v="4"/>
    <x v="4"/>
    <s v="NECTAR CALIFORNIA SURTIDO 900mlx3u"/>
    <n v="30"/>
    <x v="12"/>
    <x v="12"/>
    <n v="81"/>
    <x v="3"/>
  </r>
  <r>
    <x v="4"/>
    <x v="4"/>
    <s v="NECTAR CALIFORNIA PERA 900ml"/>
    <n v="48"/>
    <x v="2"/>
    <x v="2"/>
    <n v="43.2"/>
    <x v="3"/>
  </r>
  <r>
    <x v="4"/>
    <x v="4"/>
    <s v="NECTAR CALIFORNIA MANZANA 900ml"/>
    <n v="48"/>
    <x v="9"/>
    <x v="9"/>
    <n v="43.2"/>
    <x v="3"/>
  </r>
  <r>
    <x v="4"/>
    <x v="4"/>
    <s v="JUGO FRESKY PUNCH SURTIDO 200mlX12u"/>
    <n v="300"/>
    <x v="3"/>
    <x v="3"/>
    <n v="720"/>
    <x v="3"/>
  </r>
  <r>
    <x v="4"/>
    <x v="4"/>
    <s v="AVENA ALGARRA CANELA PAGUE 7 LLEVE 8 200ml"/>
    <n v="30"/>
    <x v="6"/>
    <x v="6"/>
    <n v="48"/>
    <x v="3"/>
  </r>
  <r>
    <x v="4"/>
    <x v="4"/>
    <s v="AVENA ALGARRA TRADICIONAL PAGUE 7 LLEVE 8 200ml"/>
    <n v="10"/>
    <x v="8"/>
    <x v="8"/>
    <n v="16"/>
    <x v="3"/>
  </r>
  <r>
    <x v="4"/>
    <x v="4"/>
    <s v="CREMA DE LECHE CREMAX BOLSA 900ml"/>
    <n v="200"/>
    <x v="11"/>
    <x v="11"/>
    <n v="180"/>
    <x v="3"/>
  </r>
  <r>
    <x v="4"/>
    <x v="4"/>
    <s v="CREMA DE LECHE LA FINCA BOLSA 900ml"/>
    <n v="200"/>
    <x v="10"/>
    <x v="10"/>
    <n v="180"/>
    <x v="3"/>
  </r>
  <r>
    <x v="5"/>
    <x v="5"/>
    <s v="AVENA ALGARRA CANELA CAJA 200gX6u"/>
    <n v="8"/>
    <x v="5"/>
    <x v="5"/>
    <n v="9.6"/>
    <x v="4"/>
  </r>
  <r>
    <x v="5"/>
    <x v="5"/>
    <s v="AVENA ALGARRA TRADICIONAL PAGUE 7 LLEVE 8 200ml"/>
    <n v="10"/>
    <x v="8"/>
    <x v="8"/>
    <n v="16"/>
    <x v="4"/>
  </r>
  <r>
    <x v="5"/>
    <x v="5"/>
    <s v="CREMA DE LECHE LA FINCA BOLSA 900ml"/>
    <n v="100"/>
    <x v="10"/>
    <x v="10"/>
    <n v="90"/>
    <x v="4"/>
  </r>
  <r>
    <x v="6"/>
    <x v="6"/>
    <s v="NECTAR CALIFORNIA DURAZNO 900ml"/>
    <n v="24"/>
    <x v="1"/>
    <x v="1"/>
    <n v="21.6"/>
    <x v="0"/>
  </r>
  <r>
    <x v="6"/>
    <x v="6"/>
    <s v="NECTAR CALIFORNIA PERA 900ml"/>
    <n v="24"/>
    <x v="2"/>
    <x v="2"/>
    <n v="21.6"/>
    <x v="0"/>
  </r>
  <r>
    <x v="6"/>
    <x v="6"/>
    <s v="AVENA ALGARRA CANELA CAJA 200gX6u"/>
    <n v="10"/>
    <x v="5"/>
    <x v="5"/>
    <n v="12"/>
    <x v="0"/>
  </r>
  <r>
    <x v="6"/>
    <x v="6"/>
    <s v="AVENA ALGARRA CANELA PAGUE 7 LLEVE 8 200ml"/>
    <n v="12"/>
    <x v="6"/>
    <x v="6"/>
    <n v="19.200000000000003"/>
    <x v="0"/>
  </r>
  <r>
    <x v="6"/>
    <x v="6"/>
    <s v="AVENA ALGARRA NATURAL CAJA 200gX6u"/>
    <n v="10"/>
    <x v="7"/>
    <x v="7"/>
    <n v="12"/>
    <x v="0"/>
  </r>
  <r>
    <x v="6"/>
    <x v="6"/>
    <s v="CREMA DE LECHE CREMAX BOLSA 900ml"/>
    <n v="100"/>
    <x v="11"/>
    <x v="11"/>
    <n v="90"/>
    <x v="0"/>
  </r>
  <r>
    <x v="6"/>
    <x v="6"/>
    <s v="CREMA DE LECHE LA FINCA BOLSA 900ml"/>
    <n v="100"/>
    <x v="10"/>
    <x v="10"/>
    <n v="90"/>
    <x v="0"/>
  </r>
  <r>
    <x v="7"/>
    <x v="7"/>
    <s v="NECTAR CALIFORNIA SURTIDO 200ml PAGUE 7 LLEVE 10u"/>
    <n v="100"/>
    <x v="0"/>
    <x v="0"/>
    <n v="200"/>
    <x v="5"/>
  </r>
  <r>
    <x v="7"/>
    <x v="7"/>
    <s v="NECTAR CALIFORNIA DURAZNO 900ml"/>
    <n v="24"/>
    <x v="1"/>
    <x v="1"/>
    <n v="21.6"/>
    <x v="5"/>
  </r>
  <r>
    <x v="7"/>
    <x v="7"/>
    <s v="NECTAR CALIFORNIA SURTIDO 900mlx3u"/>
    <n v="24"/>
    <x v="12"/>
    <x v="12"/>
    <n v="64.800000000000011"/>
    <x v="5"/>
  </r>
  <r>
    <x v="7"/>
    <x v="7"/>
    <s v="NECTAR CALIFORNIA PERA 900ml"/>
    <n v="24"/>
    <x v="2"/>
    <x v="2"/>
    <n v="21.6"/>
    <x v="5"/>
  </r>
  <r>
    <x v="7"/>
    <x v="7"/>
    <s v="AVENA ALGARRA CANELA CAJA 200gX6u"/>
    <n v="8"/>
    <x v="5"/>
    <x v="5"/>
    <n v="9.6"/>
    <x v="5"/>
  </r>
  <r>
    <x v="7"/>
    <x v="7"/>
    <s v="AVENA ALGARRA CANELA PAGUE 7 LLEVE 8 200ml"/>
    <n v="12"/>
    <x v="6"/>
    <x v="6"/>
    <n v="19.200000000000003"/>
    <x v="5"/>
  </r>
  <r>
    <x v="7"/>
    <x v="7"/>
    <s v="AVENA ALGARRA TRADICIONAL PAGUE 7 LLEVE 8 200ml"/>
    <n v="12"/>
    <x v="8"/>
    <x v="8"/>
    <n v="19.200000000000003"/>
    <x v="5"/>
  </r>
  <r>
    <x v="7"/>
    <x v="7"/>
    <s v="CREMA DE LECHE LA FINCA BOLSA 900ml"/>
    <n v="30"/>
    <x v="10"/>
    <x v="10"/>
    <n v="27"/>
    <x v="5"/>
  </r>
  <r>
    <x v="8"/>
    <x v="8"/>
    <s v="NECTAR CALIFORNIA SURTIDO 300mlX6u"/>
    <n v="30"/>
    <x v="13"/>
    <x v="13"/>
    <n v="54"/>
    <x v="6"/>
  </r>
  <r>
    <x v="8"/>
    <x v="8"/>
    <s v="NECTAR CALIFORNIA SURTIDO 900mlx3u"/>
    <n v="18"/>
    <x v="12"/>
    <x v="12"/>
    <n v="48.6"/>
    <x v="6"/>
  </r>
  <r>
    <x v="8"/>
    <x v="8"/>
    <s v="NECTAR CALIFORNIA PERA 900ml"/>
    <n v="60"/>
    <x v="2"/>
    <x v="2"/>
    <n v="54"/>
    <x v="6"/>
  </r>
  <r>
    <x v="8"/>
    <x v="8"/>
    <s v="NECTAR CALIFORNIA MANZANA 900ml"/>
    <n v="60"/>
    <x v="9"/>
    <x v="9"/>
    <n v="54"/>
    <x v="6"/>
  </r>
  <r>
    <x v="8"/>
    <x v="8"/>
    <s v="JUGO FRESKY PUNCH SURTIDO 200mlX12u"/>
    <n v="200"/>
    <x v="3"/>
    <x v="3"/>
    <n v="480"/>
    <x v="6"/>
  </r>
  <r>
    <x v="8"/>
    <x v="8"/>
    <s v="TE CALIFORNIA SURTIDO AMAZTE 200mlX6u"/>
    <n v="30"/>
    <x v="4"/>
    <x v="4"/>
    <n v="36"/>
    <x v="6"/>
  </r>
  <r>
    <x v="8"/>
    <x v="8"/>
    <s v="AVENA ALGARRA CANELA CAJA 200gX6u"/>
    <n v="10"/>
    <x v="5"/>
    <x v="5"/>
    <n v="12"/>
    <x v="6"/>
  </r>
  <r>
    <x v="8"/>
    <x v="8"/>
    <s v="AVENA ALGARRA NATURAL CAJA 200gX6u"/>
    <n v="5"/>
    <x v="7"/>
    <x v="7"/>
    <n v="6"/>
    <x v="6"/>
  </r>
  <r>
    <x v="8"/>
    <x v="8"/>
    <s v="AVENA ALGARRA TRADICIONAL PAGUE 7 LLEVE 8 200ml"/>
    <n v="12"/>
    <x v="8"/>
    <x v="8"/>
    <n v="19.200000000000003"/>
    <x v="6"/>
  </r>
  <r>
    <x v="8"/>
    <x v="8"/>
    <s v="CREMA DE LECHE CREMAX BOLSA 900ml"/>
    <n v="250"/>
    <x v="11"/>
    <x v="11"/>
    <n v="225"/>
    <x v="6"/>
  </r>
  <r>
    <x v="8"/>
    <x v="8"/>
    <s v="CREMA DE LECHE LA FINCA BOLSA 900ml"/>
    <n v="200"/>
    <x v="10"/>
    <x v="10"/>
    <n v="180"/>
    <x v="6"/>
  </r>
  <r>
    <x v="9"/>
    <x v="9"/>
    <s v="NECTAR CALIFORNIA SURTIDO 200ml PAGUE 7 LLEVE 10u"/>
    <n v="200"/>
    <x v="0"/>
    <x v="0"/>
    <n v="400"/>
    <x v="2"/>
  </r>
  <r>
    <x v="9"/>
    <x v="9"/>
    <s v="NECTAR CALIFORNIA DURAZNO 900ml"/>
    <n v="24"/>
    <x v="1"/>
    <x v="1"/>
    <n v="21.6"/>
    <x v="2"/>
  </r>
  <r>
    <x v="9"/>
    <x v="9"/>
    <s v="NECTAR CALIFORNIA PERA 900ml"/>
    <n v="24"/>
    <x v="2"/>
    <x v="2"/>
    <n v="21.6"/>
    <x v="2"/>
  </r>
  <r>
    <x v="9"/>
    <x v="9"/>
    <s v="NECTAR CALIFORNIA MANZANA 900ml"/>
    <n v="24"/>
    <x v="9"/>
    <x v="9"/>
    <n v="21.6"/>
    <x v="2"/>
  </r>
  <r>
    <x v="9"/>
    <x v="9"/>
    <s v="TE CALIFORNIA SURTIDO AMAZTE 200mlX6u"/>
    <n v="20"/>
    <x v="4"/>
    <x v="4"/>
    <n v="24"/>
    <x v="2"/>
  </r>
  <r>
    <x v="9"/>
    <x v="9"/>
    <s v="AVENA ALGARRA CANELA CAJA 200gX6u"/>
    <n v="8"/>
    <x v="5"/>
    <x v="5"/>
    <n v="9.6"/>
    <x v="2"/>
  </r>
  <r>
    <x v="9"/>
    <x v="9"/>
    <s v="AVENA ALGARRA NATURAL CAJA 200gX6u"/>
    <n v="10"/>
    <x v="7"/>
    <x v="7"/>
    <n v="12"/>
    <x v="2"/>
  </r>
  <r>
    <x v="9"/>
    <x v="9"/>
    <s v="CREMA DE LECHE CREMAX BOLSA 900ml"/>
    <n v="100"/>
    <x v="11"/>
    <x v="11"/>
    <n v="90"/>
    <x v="2"/>
  </r>
  <r>
    <x v="9"/>
    <x v="9"/>
    <s v="CREMA DE LECHE LA FINCA BOLSA 900ml"/>
    <n v="50"/>
    <x v="10"/>
    <x v="10"/>
    <n v="45"/>
    <x v="2"/>
  </r>
  <r>
    <x v="10"/>
    <x v="10"/>
    <s v="AVENA ALGARRA CANELA PAGUE 7 LLEVE 8 200ml"/>
    <n v="24"/>
    <x v="6"/>
    <x v="6"/>
    <n v="38.400000000000006"/>
    <x v="7"/>
  </r>
  <r>
    <x v="11"/>
    <x v="11"/>
    <s v="AVENA ALGARRA CANELA CAJA 200gX6u"/>
    <n v="8"/>
    <x v="5"/>
    <x v="5"/>
    <n v="9.6"/>
    <x v="1"/>
  </r>
  <r>
    <x v="11"/>
    <x v="11"/>
    <s v="AVENA ALGARRA CANELA PAGUE 7 LLEVE 8 200ml"/>
    <n v="12"/>
    <x v="6"/>
    <x v="6"/>
    <n v="19.200000000000003"/>
    <x v="1"/>
  </r>
  <r>
    <x v="11"/>
    <x v="11"/>
    <s v="AVENA ALGARRA TRADICIONAL PAGUE 7 LLEVE 8 200ml"/>
    <n v="60"/>
    <x v="8"/>
    <x v="8"/>
    <n v="96"/>
    <x v="1"/>
  </r>
  <r>
    <x v="11"/>
    <x v="11"/>
    <s v="CREMA DE LECHE LA FINCA BOLSA 900ml"/>
    <n v="400"/>
    <x v="10"/>
    <x v="10"/>
    <n v="360"/>
    <x v="1"/>
  </r>
  <r>
    <x v="12"/>
    <x v="12"/>
    <s v="NECTAR CALIFORNIA MANZANA BOT 900ml"/>
    <n v="24"/>
    <x v="14"/>
    <x v="14"/>
    <n v="21.6"/>
    <x v="8"/>
  </r>
  <r>
    <x v="12"/>
    <x v="12"/>
    <s v="NECTAR CALIFORNIA DURAZNO 900ml"/>
    <n v="24"/>
    <x v="1"/>
    <x v="1"/>
    <n v="21.6"/>
    <x v="8"/>
  </r>
  <r>
    <x v="12"/>
    <x v="12"/>
    <s v="NECTAR CALIFORNIA PERA 900ml"/>
    <n v="24"/>
    <x v="2"/>
    <x v="2"/>
    <n v="21.6"/>
    <x v="8"/>
  </r>
  <r>
    <x v="12"/>
    <x v="12"/>
    <s v="NECTAR CALIFORNIA MANZANA 900ml"/>
    <n v="24"/>
    <x v="9"/>
    <x v="9"/>
    <n v="21.6"/>
    <x v="8"/>
  </r>
  <r>
    <x v="12"/>
    <x v="12"/>
    <s v="TE CALIFORNIA SURTIDO AMAZTE 200mlX6u"/>
    <n v="60"/>
    <x v="4"/>
    <x v="4"/>
    <n v="72"/>
    <x v="8"/>
  </r>
  <r>
    <x v="12"/>
    <x v="12"/>
    <s v="AVENA ALGARRA CANELA CAJA 200gX6u"/>
    <n v="8"/>
    <x v="5"/>
    <x v="5"/>
    <n v="9.6"/>
    <x v="8"/>
  </r>
  <r>
    <x v="12"/>
    <x v="12"/>
    <s v="AVENA ALGARRA CANELA PAGUE 7 LLEVE 8 200ml"/>
    <n v="12"/>
    <x v="6"/>
    <x v="6"/>
    <n v="19.200000000000003"/>
    <x v="8"/>
  </r>
  <r>
    <x v="12"/>
    <x v="12"/>
    <s v="AVENA ALGARRA NATURAL CAJA 200gX6u"/>
    <n v="10"/>
    <x v="7"/>
    <x v="7"/>
    <n v="12"/>
    <x v="8"/>
  </r>
  <r>
    <x v="12"/>
    <x v="12"/>
    <s v="CREMA DE LECHE LA FINCA BOLSA 900ml"/>
    <n v="100"/>
    <x v="10"/>
    <x v="10"/>
    <n v="90"/>
    <x v="8"/>
  </r>
  <r>
    <x v="13"/>
    <x v="13"/>
    <s v="AVENA ALGARRA CANELA CAJA 200gX6u"/>
    <n v="10"/>
    <x v="5"/>
    <x v="5"/>
    <n v="12"/>
    <x v="9"/>
  </r>
  <r>
    <x v="13"/>
    <x v="13"/>
    <s v="AVENA ALGARRA NATURAL CAJA 200gX6u"/>
    <n v="10"/>
    <x v="7"/>
    <x v="7"/>
    <n v="12"/>
    <x v="9"/>
  </r>
  <r>
    <x v="14"/>
    <x v="14"/>
    <s v="NECTAR CALIFORNIA SURTIDO 200ml PAGUE 7 LLEVE 10u"/>
    <n v="200"/>
    <x v="0"/>
    <x v="0"/>
    <n v="400"/>
    <x v="10"/>
  </r>
  <r>
    <x v="14"/>
    <x v="14"/>
    <s v="NECTAR CALIFORNIA MANZANA BOT 900ml"/>
    <n v="24"/>
    <x v="14"/>
    <x v="14"/>
    <n v="21.6"/>
    <x v="10"/>
  </r>
  <r>
    <x v="14"/>
    <x v="14"/>
    <s v="NECTAR CALIFORNIA DURAZNO 900ml"/>
    <n v="24"/>
    <x v="1"/>
    <x v="1"/>
    <n v="21.6"/>
    <x v="10"/>
  </r>
  <r>
    <x v="14"/>
    <x v="14"/>
    <s v="TE CALIFORNIA SURTIDO AMAZTE 200mlX6u"/>
    <n v="60"/>
    <x v="4"/>
    <x v="4"/>
    <n v="72"/>
    <x v="10"/>
  </r>
  <r>
    <x v="14"/>
    <x v="14"/>
    <s v="AVENA ALGARRA CANELA CAJA 200gX6u"/>
    <n v="8"/>
    <x v="5"/>
    <x v="5"/>
    <n v="9.6"/>
    <x v="10"/>
  </r>
  <r>
    <x v="15"/>
    <x v="15"/>
    <s v="TE CALIFORNIA SURTIDO AMAZTE 200mlX6u"/>
    <n v="20"/>
    <x v="4"/>
    <x v="4"/>
    <n v="24"/>
    <x v="11"/>
  </r>
  <r>
    <x v="15"/>
    <x v="15"/>
    <s v="AVENA ALGARRA CANELA PAGUE 7 LLEVE 8 200ml"/>
    <n v="24"/>
    <x v="6"/>
    <x v="6"/>
    <n v="38.400000000000006"/>
    <x v="11"/>
  </r>
  <r>
    <x v="15"/>
    <x v="15"/>
    <s v="AVENA ALGARRA CANELA CAJA 200gX6u"/>
    <n v="10"/>
    <x v="5"/>
    <x v="5"/>
    <n v="12"/>
    <x v="11"/>
  </r>
  <r>
    <x v="15"/>
    <x v="15"/>
    <s v="AVENA ALGARRA NATURAL CAJA 200gX6u"/>
    <n v="10"/>
    <x v="7"/>
    <x v="7"/>
    <n v="12"/>
    <x v="11"/>
  </r>
  <r>
    <x v="15"/>
    <x v="15"/>
    <s v="CREMA DE LECHE CREMAX BOLSA 900ml"/>
    <n v="100"/>
    <x v="11"/>
    <x v="11"/>
    <n v="90"/>
    <x v="11"/>
  </r>
  <r>
    <x v="15"/>
    <x v="15"/>
    <s v="CREMA DE LECHE LA FINCA BOLSA 900ml"/>
    <n v="50"/>
    <x v="10"/>
    <x v="10"/>
    <n v="45"/>
    <x v="11"/>
  </r>
  <r>
    <x v="16"/>
    <x v="16"/>
    <s v="NECTAR CALIFORNIA SURTIDO 300mlX6u"/>
    <n v="24"/>
    <x v="13"/>
    <x v="13"/>
    <n v="43.2"/>
    <x v="3"/>
  </r>
  <r>
    <x v="16"/>
    <x v="16"/>
    <s v="NECTAR CALIFORNIA SURTIDO 200ml PAGUE 7 LLEVE 10u"/>
    <n v="150"/>
    <x v="0"/>
    <x v="0"/>
    <n v="300"/>
    <x v="3"/>
  </r>
  <r>
    <x v="16"/>
    <x v="16"/>
    <s v="NECTAR CALIFORNIA MANZANA BOT 900ml"/>
    <n v="24"/>
    <x v="14"/>
    <x v="14"/>
    <n v="21.6"/>
    <x v="3"/>
  </r>
  <r>
    <x v="16"/>
    <x v="16"/>
    <s v="NECTAR CALIFORNIA SURTIDO 900mlx3u"/>
    <n v="20"/>
    <x v="12"/>
    <x v="12"/>
    <n v="54"/>
    <x v="3"/>
  </r>
  <r>
    <x v="16"/>
    <x v="16"/>
    <s v="JUGO FRESKY PUNCH SURTIDO 200mlX12u"/>
    <n v="300"/>
    <x v="3"/>
    <x v="3"/>
    <n v="720"/>
    <x v="3"/>
  </r>
  <r>
    <x v="16"/>
    <x v="16"/>
    <s v="AVENA ALGARRA CANELA CAJA 200gX6u"/>
    <n v="10"/>
    <x v="5"/>
    <x v="5"/>
    <n v="12"/>
    <x v="3"/>
  </r>
  <r>
    <x v="16"/>
    <x v="16"/>
    <s v="AVENA ALGARRA TRADICIONAL PAGUE 7 LLEVE 8 200ml"/>
    <n v="10"/>
    <x v="8"/>
    <x v="8"/>
    <n v="16"/>
    <x v="3"/>
  </r>
  <r>
    <x v="16"/>
    <x v="16"/>
    <s v="CREMA DE LECHE CREMAX BOLSA 900ml"/>
    <n v="100"/>
    <x v="11"/>
    <x v="11"/>
    <n v="90"/>
    <x v="3"/>
  </r>
  <r>
    <x v="16"/>
    <x v="16"/>
    <s v="CREMA DE LECHE LA FINCA BOLSA 900ml"/>
    <n v="200"/>
    <x v="10"/>
    <x v="10"/>
    <n v="180"/>
    <x v="3"/>
  </r>
  <r>
    <x v="17"/>
    <x v="17"/>
    <s v="AVENA ALGARRA CANELA CAJA 200gX6u"/>
    <n v="8"/>
    <x v="5"/>
    <x v="5"/>
    <n v="9.6"/>
    <x v="12"/>
  </r>
  <r>
    <x v="17"/>
    <x v="17"/>
    <s v="AVENA ALGARRA CANELA PAGUE 7 LLEVE 8 200ml"/>
    <n v="12"/>
    <x v="6"/>
    <x v="6"/>
    <n v="19.200000000000003"/>
    <x v="12"/>
  </r>
  <r>
    <x v="17"/>
    <x v="17"/>
    <s v="AVENA ALGARRA NATURAL CAJA 200gX6u"/>
    <n v="10"/>
    <x v="7"/>
    <x v="7"/>
    <n v="12"/>
    <x v="12"/>
  </r>
  <r>
    <x v="18"/>
    <x v="18"/>
    <s v="NECTAR CALIFORNIA PERA 900ml"/>
    <n v="24"/>
    <x v="2"/>
    <x v="2"/>
    <n v="21.6"/>
    <x v="0"/>
  </r>
  <r>
    <x v="18"/>
    <x v="18"/>
    <s v="NECTAR CALIFORNIA MANZANA 900ml"/>
    <n v="24"/>
    <x v="9"/>
    <x v="9"/>
    <n v="21.6"/>
    <x v="0"/>
  </r>
  <r>
    <x v="18"/>
    <x v="18"/>
    <s v="JUGO FRESKY PUNCH SURTIDO 200mlX12u"/>
    <n v="100"/>
    <x v="3"/>
    <x v="3"/>
    <n v="240"/>
    <x v="0"/>
  </r>
  <r>
    <x v="18"/>
    <x v="18"/>
    <s v="AVENA ALGARRA CANELA CAJA 200gX6u"/>
    <n v="8"/>
    <x v="5"/>
    <x v="5"/>
    <n v="9.6"/>
    <x v="0"/>
  </r>
  <r>
    <x v="18"/>
    <x v="18"/>
    <s v="AVENA ALGARRA CANELA PAGUE 7 LLEVE 8 200ml"/>
    <n v="12"/>
    <x v="6"/>
    <x v="6"/>
    <n v="19.200000000000003"/>
    <x v="0"/>
  </r>
  <r>
    <x v="18"/>
    <x v="18"/>
    <s v="CREMA DE LECHE CREMAX BOLSA 900ml"/>
    <n v="40"/>
    <x v="11"/>
    <x v="11"/>
    <n v="36"/>
    <x v="0"/>
  </r>
  <r>
    <x v="18"/>
    <x v="18"/>
    <s v="CREMA DE LECHE LA FINCA BOLSA 900ml"/>
    <n v="30"/>
    <x v="10"/>
    <x v="10"/>
    <n v="27"/>
    <x v="0"/>
  </r>
  <r>
    <x v="19"/>
    <x v="19"/>
    <s v="NECTAR CALIFORNIA SURTIDO 200ml PAGUE 7 LLEVE 10u"/>
    <n v="100"/>
    <x v="0"/>
    <x v="0"/>
    <n v="200"/>
    <x v="13"/>
  </r>
  <r>
    <x v="19"/>
    <x v="19"/>
    <s v="NECTAR CALIFORNIA DURAZNO 900ml"/>
    <n v="24"/>
    <x v="1"/>
    <x v="1"/>
    <n v="21.6"/>
    <x v="13"/>
  </r>
  <r>
    <x v="19"/>
    <x v="19"/>
    <s v="NECTAR CALIFORNIA PERA 900ml"/>
    <n v="12"/>
    <x v="2"/>
    <x v="2"/>
    <n v="10.8"/>
    <x v="13"/>
  </r>
  <r>
    <x v="19"/>
    <x v="19"/>
    <s v="AVENA ALGARRA CANELA CAJA 200gX6u"/>
    <n v="8"/>
    <x v="5"/>
    <x v="5"/>
    <n v="9.6"/>
    <x v="13"/>
  </r>
  <r>
    <x v="19"/>
    <x v="19"/>
    <s v="AVENA ALGARRA NATURAL CAJA 200gX6u"/>
    <n v="10"/>
    <x v="7"/>
    <x v="7"/>
    <n v="12"/>
    <x v="13"/>
  </r>
  <r>
    <x v="19"/>
    <x v="19"/>
    <s v="CREMA DE LECHE CREMAX BOLSA 900ml"/>
    <n v="50"/>
    <x v="11"/>
    <x v="11"/>
    <n v="45"/>
    <x v="13"/>
  </r>
  <r>
    <x v="19"/>
    <x v="19"/>
    <s v="CREMA DE LECHE LA FINCA BOLSA 900ml"/>
    <n v="50"/>
    <x v="10"/>
    <x v="10"/>
    <n v="45"/>
    <x v="13"/>
  </r>
  <r>
    <x v="20"/>
    <x v="20"/>
    <s v="NECTAR CALIFORNIA SURTIDO 300mlX6u"/>
    <n v="12"/>
    <x v="13"/>
    <x v="13"/>
    <n v="21.6"/>
    <x v="2"/>
  </r>
  <r>
    <x v="20"/>
    <x v="20"/>
    <s v="NECTAR CALIFORNIA SURTIDO 200ml PAGUE 7 LLEVE 10u"/>
    <n v="200"/>
    <x v="0"/>
    <x v="0"/>
    <n v="400"/>
    <x v="2"/>
  </r>
  <r>
    <x v="20"/>
    <x v="20"/>
    <s v="NECTAR CALIFORNIA DURAZNO 900ml"/>
    <n v="48"/>
    <x v="1"/>
    <x v="1"/>
    <n v="43.2"/>
    <x v="2"/>
  </r>
  <r>
    <x v="20"/>
    <x v="20"/>
    <s v="NECTAR CALIFORNIA SURTIDO 900mlx3u"/>
    <n v="12"/>
    <x v="12"/>
    <x v="12"/>
    <n v="32.400000000000006"/>
    <x v="2"/>
  </r>
  <r>
    <x v="20"/>
    <x v="20"/>
    <s v="NECTAR CALIFORNIA PERA 900ml"/>
    <n v="12"/>
    <x v="2"/>
    <x v="2"/>
    <n v="10.8"/>
    <x v="2"/>
  </r>
  <r>
    <x v="20"/>
    <x v="20"/>
    <s v="NECTAR CALIFORNIA MANZANA 900ml"/>
    <n v="24"/>
    <x v="9"/>
    <x v="9"/>
    <n v="21.6"/>
    <x v="2"/>
  </r>
  <r>
    <x v="20"/>
    <x v="20"/>
    <s v="TE CALIFORNIA SURTIDO AMAZTE 200mlX6u"/>
    <n v="10"/>
    <x v="4"/>
    <x v="4"/>
    <n v="12"/>
    <x v="2"/>
  </r>
  <r>
    <x v="20"/>
    <x v="20"/>
    <s v="AVENA ALGARRA CANELA PAGUE 7 LLEVE 8 200ml"/>
    <n v="12"/>
    <x v="6"/>
    <x v="6"/>
    <n v="19.200000000000003"/>
    <x v="2"/>
  </r>
  <r>
    <x v="20"/>
    <x v="20"/>
    <s v="CREMA DE LECHE LA FINCA BOLSA 900ml"/>
    <n v="50"/>
    <x v="10"/>
    <x v="10"/>
    <n v="4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50FB79-A7D0-4F02-95DA-26A2C0A86123}" name="TablaDinámica2" cacheId="832" applyNumberFormats="0" applyBorderFormats="0" applyFontFormats="0" applyPatternFormats="0" applyAlignmentFormats="0" applyWidthHeightFormats="1" dataCaption="Valores" grandTotalCaption="Total" updatedVersion="8" minRefreshableVersion="3" useAutoFormatting="1" colGrandTotals="0" itemPrintTitles="1" createdVersion="8" indent="0" compact="0" compactData="0" multipleFieldFilters="0">
  <location ref="K1:O23" firstHeaderRow="1" firstDataRow="1" firstDataCol="4"/>
  <pivotFields count="8">
    <pivotField compact="0" outline="0" showAll="0" defaultSubtota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xis="axisRow" compact="0" outline="0" showAll="0" defaultSubtotal="0">
      <items count="21">
        <item sd="0" x="0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"/>
        <item sd="0" x="18"/>
        <item sd="0" x="19"/>
        <item sd="0" x="20"/>
        <item sd="0" x="2"/>
        <item sd="0" x="3"/>
        <item sd="0" x="4"/>
        <item sd="0" x="5"/>
        <item sd="0" x="6"/>
        <item sd="0" x="7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15">
        <item x="3"/>
        <item x="4"/>
        <item x="5"/>
        <item x="6"/>
        <item x="8"/>
        <item x="7"/>
        <item x="10"/>
        <item x="11"/>
        <item x="14"/>
        <item x="9"/>
        <item x="2"/>
        <item x="1"/>
        <item x="12"/>
        <item x="13"/>
        <item x="0"/>
      </items>
    </pivotField>
    <pivotField axis="axisRow" compact="0" outline="0" showAll="0" defaultSubtotal="0">
      <items count="15">
        <item x="6"/>
        <item x="5"/>
        <item x="8"/>
        <item x="7"/>
        <item x="11"/>
        <item x="10"/>
        <item x="3"/>
        <item x="1"/>
        <item x="9"/>
        <item x="2"/>
        <item x="12"/>
        <item x="13"/>
        <item x="0"/>
        <item x="14"/>
        <item x="4"/>
      </items>
    </pivotField>
    <pivotField dataField="1" compact="0" outline="0" showAll="0" defaultSubtotal="0"/>
    <pivotField axis="axisRow" compact="0" outline="0" showAll="0" defaultSubtotal="0">
      <items count="14">
        <item x="0"/>
        <item x="11"/>
        <item x="7"/>
        <item x="2"/>
        <item x="10"/>
        <item x="13"/>
        <item x="8"/>
        <item x="6"/>
        <item x="3"/>
        <item x="12"/>
        <item x="9"/>
        <item x="1"/>
        <item x="4"/>
        <item x="5"/>
      </items>
    </pivotField>
  </pivotFields>
  <rowFields count="4">
    <field x="7"/>
    <field x="1"/>
    <field x="4"/>
    <field x="5"/>
  </rowFields>
  <rowItems count="22">
    <i>
      <x/>
      <x/>
    </i>
    <i r="1">
      <x v="11"/>
    </i>
    <i r="1">
      <x v="12"/>
    </i>
    <i r="1">
      <x v="19"/>
    </i>
    <i>
      <x v="1"/>
      <x v="8"/>
    </i>
    <i>
      <x v="2"/>
      <x v="3"/>
    </i>
    <i>
      <x v="3"/>
      <x v="2"/>
    </i>
    <i r="1">
      <x v="14"/>
    </i>
    <i r="1">
      <x v="16"/>
    </i>
    <i>
      <x v="4"/>
      <x v="7"/>
    </i>
    <i>
      <x v="5"/>
      <x v="13"/>
    </i>
    <i>
      <x v="6"/>
      <x v="5"/>
    </i>
    <i>
      <x v="7"/>
      <x v="1"/>
    </i>
    <i>
      <x v="8"/>
      <x v="9"/>
    </i>
    <i r="1">
      <x v="17"/>
    </i>
    <i>
      <x v="9"/>
      <x v="10"/>
    </i>
    <i>
      <x v="10"/>
      <x v="6"/>
    </i>
    <i>
      <x v="11"/>
      <x v="4"/>
    </i>
    <i r="1">
      <x v="15"/>
    </i>
    <i>
      <x v="12"/>
      <x v="18"/>
    </i>
    <i>
      <x v="13"/>
      <x v="20"/>
    </i>
    <i t="grand">
      <x/>
    </i>
  </rowItems>
  <colItems count="1">
    <i/>
  </colItems>
  <dataFields count="1">
    <dataField name="Litros " fld="6" baseField="1" baseItem="7" numFmtId="3"/>
  </dataField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A58B5-3F4E-4042-892B-D2B21B9B65B0}">
  <dimension ref="A1:O138"/>
  <sheetViews>
    <sheetView tabSelected="1" topLeftCell="C1" workbookViewId="0">
      <selection activeCell="L20" sqref="L20"/>
    </sheetView>
  </sheetViews>
  <sheetFormatPr baseColWidth="10" defaultRowHeight="15" x14ac:dyDescent="0.25"/>
  <cols>
    <col min="1" max="1" width="3" bestFit="1" customWidth="1"/>
    <col min="2" max="2" width="30.85546875" bestFit="1" customWidth="1"/>
    <col min="3" max="3" width="50.140625" bestFit="1" customWidth="1"/>
    <col min="4" max="4" width="11.7109375" bestFit="1" customWidth="1"/>
    <col min="5" max="5" width="8.28515625" bestFit="1" customWidth="1"/>
    <col min="6" max="6" width="41" bestFit="1" customWidth="1"/>
    <col min="7" max="7" width="5.85546875" bestFit="1" customWidth="1"/>
    <col min="11" max="11" width="9.7109375" bestFit="1" customWidth="1"/>
    <col min="12" max="12" width="32.7109375" bestFit="1" customWidth="1"/>
    <col min="13" max="14" width="10.5703125" hidden="1" customWidth="1"/>
    <col min="15" max="15" width="6.5703125" bestFit="1" customWidth="1"/>
    <col min="16" max="16" width="14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41</v>
      </c>
      <c r="E1" t="s">
        <v>42</v>
      </c>
      <c r="F1" t="s">
        <v>74</v>
      </c>
      <c r="G1" t="s">
        <v>40</v>
      </c>
      <c r="H1" t="s">
        <v>96</v>
      </c>
      <c r="K1" s="2" t="s">
        <v>96</v>
      </c>
      <c r="L1" s="2" t="s">
        <v>1</v>
      </c>
      <c r="M1" s="2" t="s">
        <v>42</v>
      </c>
      <c r="N1" s="2" t="s">
        <v>74</v>
      </c>
      <c r="O1" t="s">
        <v>111</v>
      </c>
    </row>
    <row r="2" spans="1:15" x14ac:dyDescent="0.25">
      <c r="A2">
        <v>1</v>
      </c>
      <c r="B2" t="s">
        <v>7</v>
      </c>
      <c r="C2" t="s">
        <v>8</v>
      </c>
      <c r="D2">
        <v>200</v>
      </c>
      <c r="E2" t="str">
        <f>VLOOKUP($C2,Hoja2!$A:$D,2,0)</f>
        <v>F48809</v>
      </c>
      <c r="F2" t="str">
        <f>VLOOKUP($C2,Hoja2!$A:$D,3,0)</f>
        <v>NECTAR CALIFORNIA SURTIDO TB 200ML 7X10</v>
      </c>
      <c r="G2">
        <f>VLOOKUP($C2,Hoja2!$A:$D,4,0)*D2</f>
        <v>400</v>
      </c>
      <c r="H2" t="str">
        <f>VLOOKUP(A2,Hoja2!H:J,3,0)</f>
        <v>CO02</v>
      </c>
      <c r="K2" t="s">
        <v>97</v>
      </c>
      <c r="L2" t="s">
        <v>7</v>
      </c>
      <c r="O2" s="3">
        <v>868.40000000000009</v>
      </c>
    </row>
    <row r="3" spans="1:15" x14ac:dyDescent="0.25">
      <c r="A3">
        <v>1</v>
      </c>
      <c r="B3" t="s">
        <v>7</v>
      </c>
      <c r="C3" t="s">
        <v>16</v>
      </c>
      <c r="D3">
        <v>24</v>
      </c>
      <c r="E3" t="str">
        <f>VLOOKUP($C3,Hoja2!$A:$D,2,0)</f>
        <v>F48669</v>
      </c>
      <c r="F3" t="str">
        <f>VLOOKUP($C3,Hoja2!$A:$D,3,0)</f>
        <v>NECTAR CALIFORNIA DURAZNO TB 900ML</v>
      </c>
      <c r="G3">
        <f>VLOOKUP($C3,Hoja2!$A:$D,4,0)*D3</f>
        <v>21.6</v>
      </c>
      <c r="H3" t="str">
        <f>VLOOKUP(A3,Hoja2!H:J,3,0)</f>
        <v>CO02</v>
      </c>
      <c r="L3" t="s">
        <v>26</v>
      </c>
      <c r="O3" s="3">
        <v>152.80000000000001</v>
      </c>
    </row>
    <row r="4" spans="1:15" x14ac:dyDescent="0.25">
      <c r="A4">
        <v>1</v>
      </c>
      <c r="B4" t="s">
        <v>7</v>
      </c>
      <c r="C4" t="s">
        <v>20</v>
      </c>
      <c r="D4">
        <v>24</v>
      </c>
      <c r="E4" t="str">
        <f>VLOOKUP($C4,Hoja2!$A:$D,2,0)</f>
        <v>F48668</v>
      </c>
      <c r="F4" t="str">
        <f>VLOOKUP($C4,Hoja2!$A:$D,3,0)</f>
        <v>NECTAR CALIFORNIA PERA TB 900ML</v>
      </c>
      <c r="G4">
        <f>VLOOKUP($C4,Hoja2!$A:$D,4,0)*D4</f>
        <v>21.6</v>
      </c>
      <c r="H4" t="str">
        <f>VLOOKUP(A4,Hoja2!H:J,3,0)</f>
        <v>CO02</v>
      </c>
      <c r="L4" t="s">
        <v>22</v>
      </c>
      <c r="O4" s="3">
        <v>375</v>
      </c>
    </row>
    <row r="5" spans="1:15" x14ac:dyDescent="0.25">
      <c r="A5">
        <v>1</v>
      </c>
      <c r="B5" t="s">
        <v>7</v>
      </c>
      <c r="C5" t="s">
        <v>24</v>
      </c>
      <c r="D5">
        <v>100</v>
      </c>
      <c r="E5" t="str">
        <f>VLOOKUP($C5,Hoja2!$A:$D,2,0)</f>
        <v>F44225</v>
      </c>
      <c r="F5" t="str">
        <f>VLOOKUP($C5,Hoja2!$A:$D,3,0)</f>
        <v>FRESKY CALIFORNIA SUR PUN TB 200ML 10X12</v>
      </c>
      <c r="G5">
        <f>VLOOKUP($C5,Hoja2!$A:$D,4,0)*D5</f>
        <v>240</v>
      </c>
      <c r="H5" t="str">
        <f>VLOOKUP(A5,Hoja2!H:J,3,0)</f>
        <v>CO02</v>
      </c>
      <c r="L5" t="s">
        <v>17</v>
      </c>
      <c r="O5" s="3">
        <v>266.39999999999998</v>
      </c>
    </row>
    <row r="6" spans="1:15" x14ac:dyDescent="0.25">
      <c r="A6">
        <v>1</v>
      </c>
      <c r="B6" t="s">
        <v>7</v>
      </c>
      <c r="C6" t="s">
        <v>25</v>
      </c>
      <c r="D6">
        <v>100</v>
      </c>
      <c r="E6" t="str">
        <f>VLOOKUP($C6,Hoja2!$A:$D,2,0)</f>
        <v>F44226</v>
      </c>
      <c r="F6" t="str">
        <f>VLOOKUP($C6,Hoja2!$A:$D,3,0)</f>
        <v>TE CALIFORNIA SURTIDO 200 ML TB X6</v>
      </c>
      <c r="G6">
        <f>VLOOKUP($C6,Hoja2!$A:$D,4,0)*D6</f>
        <v>120</v>
      </c>
      <c r="H6" t="str">
        <f>VLOOKUP(A6,Hoja2!H:J,3,0)</f>
        <v>CO02</v>
      </c>
      <c r="K6" t="s">
        <v>108</v>
      </c>
      <c r="L6" t="s">
        <v>27</v>
      </c>
      <c r="O6" s="3">
        <v>221.4</v>
      </c>
    </row>
    <row r="7" spans="1:15" x14ac:dyDescent="0.25">
      <c r="A7">
        <v>1</v>
      </c>
      <c r="B7" t="s">
        <v>7</v>
      </c>
      <c r="C7" t="s">
        <v>28</v>
      </c>
      <c r="D7">
        <v>15</v>
      </c>
      <c r="E7" t="str">
        <f>VLOOKUP($C7,Hoja2!$A:$D,2,0)</f>
        <v>F47006</v>
      </c>
      <c r="F7" t="str">
        <f>VLOOKUP($C7,Hoja2!$A:$D,3,0)</f>
        <v>AVENA ALGARRA CANELA TB 200ML X6</v>
      </c>
      <c r="G7">
        <f>VLOOKUP($C7,Hoja2!$A:$D,4,0)*D7</f>
        <v>18</v>
      </c>
      <c r="H7" t="str">
        <f>VLOOKUP(A7,Hoja2!H:J,3,0)</f>
        <v>CO02</v>
      </c>
      <c r="K7" t="s">
        <v>104</v>
      </c>
      <c r="L7" t="s">
        <v>35</v>
      </c>
      <c r="O7" s="3">
        <v>38.400000000000006</v>
      </c>
    </row>
    <row r="8" spans="1:15" x14ac:dyDescent="0.25">
      <c r="A8">
        <v>1</v>
      </c>
      <c r="B8" t="s">
        <v>7</v>
      </c>
      <c r="C8" t="s">
        <v>29</v>
      </c>
      <c r="D8">
        <v>12</v>
      </c>
      <c r="E8" t="str">
        <f>VLOOKUP($C8,Hoja2!$A:$D,2,0)</f>
        <v>F47013</v>
      </c>
      <c r="F8" t="str">
        <f>VLOOKUP($C8,Hoja2!$A:$D,3,0)</f>
        <v>AVENA ALGARRA CANELA BS 200ML 7X8</v>
      </c>
      <c r="G8">
        <f>VLOOKUP($C8,Hoja2!$A:$D,4,0)*D8</f>
        <v>19.200000000000003</v>
      </c>
      <c r="H8" t="str">
        <f>VLOOKUP(A8,Hoja2!H:J,3,0)</f>
        <v>CO02</v>
      </c>
      <c r="K8" t="s">
        <v>99</v>
      </c>
      <c r="L8" t="s">
        <v>11</v>
      </c>
      <c r="O8" s="3">
        <v>645.40000000000009</v>
      </c>
    </row>
    <row r="9" spans="1:15" x14ac:dyDescent="0.25">
      <c r="A9">
        <v>1</v>
      </c>
      <c r="B9" t="s">
        <v>7</v>
      </c>
      <c r="C9" t="s">
        <v>30</v>
      </c>
      <c r="D9">
        <v>10</v>
      </c>
      <c r="E9" t="str">
        <f>VLOOKUP($C9,Hoja2!$A:$D,2,0)</f>
        <v>F47649</v>
      </c>
      <c r="F9" t="str">
        <f>VLOOKUP($C9,Hoja2!$A:$D,3,0)</f>
        <v>AVENA ALGARRA TRADICIONAL TB 200ML X6</v>
      </c>
      <c r="G9">
        <f>VLOOKUP($C9,Hoja2!$A:$D,4,0)*D9</f>
        <v>12</v>
      </c>
      <c r="H9" t="str">
        <f>VLOOKUP(A9,Hoja2!H:J,3,0)</f>
        <v>CO02</v>
      </c>
      <c r="L9" t="s">
        <v>6</v>
      </c>
      <c r="O9" s="3">
        <v>605.80000000000007</v>
      </c>
    </row>
    <row r="10" spans="1:15" x14ac:dyDescent="0.25">
      <c r="A10">
        <v>1</v>
      </c>
      <c r="B10" t="s">
        <v>7</v>
      </c>
      <c r="C10" t="s">
        <v>31</v>
      </c>
      <c r="D10">
        <v>10</v>
      </c>
      <c r="E10" t="str">
        <f>VLOOKUP($C10,Hoja2!$A:$D,2,0)</f>
        <v>F47427</v>
      </c>
      <c r="F10" t="str">
        <f>VLOOKUP($C10,Hoja2!$A:$D,3,0)</f>
        <v>AVENA ALGARRA TRADICIONAL BS 200ML 7X8</v>
      </c>
      <c r="G10">
        <f>VLOOKUP($C10,Hoja2!$A:$D,4,0)*D10</f>
        <v>16</v>
      </c>
      <c r="H10" t="str">
        <f>VLOOKUP(A10,Hoja2!H:J,3,0)</f>
        <v>CO02</v>
      </c>
      <c r="L10" t="s">
        <v>9</v>
      </c>
      <c r="O10" s="3">
        <v>866.40000000000009</v>
      </c>
    </row>
    <row r="11" spans="1:15" x14ac:dyDescent="0.25">
      <c r="A11">
        <v>2</v>
      </c>
      <c r="B11" t="s">
        <v>26</v>
      </c>
      <c r="C11" t="s">
        <v>25</v>
      </c>
      <c r="D11">
        <v>60</v>
      </c>
      <c r="E11" t="str">
        <f>VLOOKUP($C11,Hoja2!$A:$D,2,0)</f>
        <v>F44226</v>
      </c>
      <c r="F11" t="str">
        <f>VLOOKUP($C11,Hoja2!$A:$D,3,0)</f>
        <v>TE CALIFORNIA SURTIDO 200 ML TB X6</v>
      </c>
      <c r="G11">
        <f>VLOOKUP($C11,Hoja2!$A:$D,4,0)*D11</f>
        <v>72</v>
      </c>
      <c r="H11" t="str">
        <f>VLOOKUP(A11,Hoja2!H:J,3,0)</f>
        <v>CO02</v>
      </c>
      <c r="K11" t="s">
        <v>107</v>
      </c>
      <c r="L11" t="s">
        <v>12</v>
      </c>
      <c r="O11" s="3">
        <v>524.80000000000007</v>
      </c>
    </row>
    <row r="12" spans="1:15" x14ac:dyDescent="0.25">
      <c r="A12">
        <v>2</v>
      </c>
      <c r="B12" t="s">
        <v>26</v>
      </c>
      <c r="C12" t="s">
        <v>28</v>
      </c>
      <c r="D12">
        <v>12</v>
      </c>
      <c r="E12" t="str">
        <f>VLOOKUP($C12,Hoja2!$A:$D,2,0)</f>
        <v>F47006</v>
      </c>
      <c r="F12" t="str">
        <f>VLOOKUP($C12,Hoja2!$A:$D,3,0)</f>
        <v>AVENA ALGARRA CANELA TB 200ML X6</v>
      </c>
      <c r="G12">
        <f>VLOOKUP($C12,Hoja2!$A:$D,4,0)*D12</f>
        <v>14.399999999999999</v>
      </c>
      <c r="H12" t="str">
        <f>VLOOKUP(A12,Hoja2!H:J,3,0)</f>
        <v>CO02</v>
      </c>
      <c r="K12" t="s">
        <v>110</v>
      </c>
      <c r="L12" t="s">
        <v>13</v>
      </c>
      <c r="O12" s="3">
        <v>344</v>
      </c>
    </row>
    <row r="13" spans="1:15" x14ac:dyDescent="0.25">
      <c r="A13">
        <v>2</v>
      </c>
      <c r="B13" t="s">
        <v>26</v>
      </c>
      <c r="C13" t="s">
        <v>29</v>
      </c>
      <c r="D13">
        <v>24</v>
      </c>
      <c r="E13" t="str">
        <f>VLOOKUP($C13,Hoja2!$A:$D,2,0)</f>
        <v>F47013</v>
      </c>
      <c r="F13" t="str">
        <f>VLOOKUP($C13,Hoja2!$A:$D,3,0)</f>
        <v>AVENA ALGARRA CANELA BS 200ML 7X8</v>
      </c>
      <c r="G13">
        <f>VLOOKUP($C13,Hoja2!$A:$D,4,0)*D13</f>
        <v>38.400000000000006</v>
      </c>
      <c r="H13" t="str">
        <f>VLOOKUP(A13,Hoja2!H:J,3,0)</f>
        <v>CO02</v>
      </c>
      <c r="K13" t="s">
        <v>105</v>
      </c>
      <c r="L13" t="s">
        <v>14</v>
      </c>
      <c r="O13" s="3">
        <v>289.2</v>
      </c>
    </row>
    <row r="14" spans="1:15" x14ac:dyDescent="0.25">
      <c r="A14">
        <v>2</v>
      </c>
      <c r="B14" t="s">
        <v>26</v>
      </c>
      <c r="C14" t="s">
        <v>30</v>
      </c>
      <c r="D14">
        <v>10</v>
      </c>
      <c r="E14" t="str">
        <f>VLOOKUP($C14,Hoja2!$A:$D,2,0)</f>
        <v>F47649</v>
      </c>
      <c r="F14" t="str">
        <f>VLOOKUP($C14,Hoja2!$A:$D,3,0)</f>
        <v>AVENA ALGARRA TRADICIONAL TB 200ML X6</v>
      </c>
      <c r="G14">
        <f>VLOOKUP($C14,Hoja2!$A:$D,4,0)*D14</f>
        <v>12</v>
      </c>
      <c r="H14" t="str">
        <f>VLOOKUP(A14,Hoja2!H:J,3,0)</f>
        <v>CO02</v>
      </c>
      <c r="K14" t="s">
        <v>103</v>
      </c>
      <c r="L14" t="s">
        <v>3</v>
      </c>
      <c r="O14" s="3">
        <v>1168.8000000000002</v>
      </c>
    </row>
    <row r="15" spans="1:15" x14ac:dyDescent="0.25">
      <c r="A15">
        <v>2</v>
      </c>
      <c r="B15" t="s">
        <v>26</v>
      </c>
      <c r="C15" t="s">
        <v>31</v>
      </c>
      <c r="D15">
        <v>10</v>
      </c>
      <c r="E15" t="str">
        <f>VLOOKUP($C15,Hoja2!$A:$D,2,0)</f>
        <v>F47427</v>
      </c>
      <c r="F15" t="str">
        <f>VLOOKUP($C15,Hoja2!$A:$D,3,0)</f>
        <v>AVENA ALGARRA TRADICIONAL BS 200ML 7X8</v>
      </c>
      <c r="G15">
        <f>VLOOKUP($C15,Hoja2!$A:$D,4,0)*D15</f>
        <v>16</v>
      </c>
      <c r="H15" t="str">
        <f>VLOOKUP(A15,Hoja2!H:J,3,0)</f>
        <v>CO02</v>
      </c>
      <c r="K15" t="s">
        <v>100</v>
      </c>
      <c r="L15" t="s">
        <v>5</v>
      </c>
      <c r="O15" s="3">
        <v>1436.8</v>
      </c>
    </row>
    <row r="16" spans="1:15" x14ac:dyDescent="0.25">
      <c r="A16">
        <v>3</v>
      </c>
      <c r="B16" t="s">
        <v>21</v>
      </c>
      <c r="C16" t="s">
        <v>20</v>
      </c>
      <c r="D16">
        <v>24</v>
      </c>
      <c r="E16" t="str">
        <f>VLOOKUP($C16,Hoja2!$A:$D,2,0)</f>
        <v>F48668</v>
      </c>
      <c r="F16" t="str">
        <f>VLOOKUP($C16,Hoja2!$A:$D,3,0)</f>
        <v>NECTAR CALIFORNIA PERA TB 900ML</v>
      </c>
      <c r="G16">
        <f>VLOOKUP($C16,Hoja2!$A:$D,4,0)*D16</f>
        <v>21.6</v>
      </c>
      <c r="H16" t="str">
        <f>VLOOKUP(A16,Hoja2!H:J,3,0)</f>
        <v>CO15</v>
      </c>
      <c r="L16" t="s">
        <v>18</v>
      </c>
      <c r="O16" s="3">
        <v>1311.4</v>
      </c>
    </row>
    <row r="17" spans="1:15" x14ac:dyDescent="0.25">
      <c r="A17">
        <v>3</v>
      </c>
      <c r="B17" t="s">
        <v>21</v>
      </c>
      <c r="C17" t="s">
        <v>23</v>
      </c>
      <c r="D17">
        <v>48</v>
      </c>
      <c r="E17" t="str">
        <f>VLOOKUP($C17,Hoja2!$A:$D,2,0)</f>
        <v>F48667</v>
      </c>
      <c r="F17" t="str">
        <f>VLOOKUP($C17,Hoja2!$A:$D,3,0)</f>
        <v>NECTAR CALIFORNIA MANZANA TB 900ML</v>
      </c>
      <c r="G17">
        <f>VLOOKUP($C17,Hoja2!$A:$D,4,0)*D17</f>
        <v>43.2</v>
      </c>
      <c r="H17" t="str">
        <f>VLOOKUP(A17,Hoja2!H:J,3,0)</f>
        <v>CO15</v>
      </c>
      <c r="K17" t="s">
        <v>109</v>
      </c>
      <c r="L17" t="s">
        <v>38</v>
      </c>
      <c r="O17" s="3">
        <v>40.800000000000004</v>
      </c>
    </row>
    <row r="18" spans="1:15" x14ac:dyDescent="0.25">
      <c r="A18">
        <v>3</v>
      </c>
      <c r="B18" t="s">
        <v>21</v>
      </c>
      <c r="C18" t="s">
        <v>29</v>
      </c>
      <c r="D18">
        <v>12</v>
      </c>
      <c r="E18" t="str">
        <f>VLOOKUP($C18,Hoja2!$A:$D,2,0)</f>
        <v>F47013</v>
      </c>
      <c r="F18" t="str">
        <f>VLOOKUP($C18,Hoja2!$A:$D,3,0)</f>
        <v>AVENA ALGARRA CANELA BS 200ML 7X8</v>
      </c>
      <c r="G18">
        <f>VLOOKUP($C18,Hoja2!$A:$D,4,0)*D18</f>
        <v>19.200000000000003</v>
      </c>
      <c r="H18" t="str">
        <f>VLOOKUP(A18,Hoja2!H:J,3,0)</f>
        <v>CO15</v>
      </c>
      <c r="K18" t="s">
        <v>106</v>
      </c>
      <c r="L18" t="s">
        <v>37</v>
      </c>
      <c r="O18" s="3">
        <v>24</v>
      </c>
    </row>
    <row r="19" spans="1:15" x14ac:dyDescent="0.25">
      <c r="A19">
        <v>3</v>
      </c>
      <c r="B19" t="s">
        <v>21</v>
      </c>
      <c r="C19" t="s">
        <v>33</v>
      </c>
      <c r="D19">
        <v>300</v>
      </c>
      <c r="E19" t="str">
        <f>VLOOKUP($C19,Hoja2!$A:$D,2,0)</f>
        <v>F48010</v>
      </c>
      <c r="F19" t="str">
        <f>VLOOKUP($C19,Hoja2!$A:$D,3,0)</f>
        <v>CML DE LA FINCA UHT BS 900 GR</v>
      </c>
      <c r="G19">
        <f>VLOOKUP($C19,Hoja2!$A:$D,4,0)*D19</f>
        <v>270</v>
      </c>
      <c r="H19" t="str">
        <f>VLOOKUP(A19,Hoja2!H:J,3,0)</f>
        <v>CO15</v>
      </c>
      <c r="K19" t="s">
        <v>98</v>
      </c>
      <c r="L19" t="s">
        <v>36</v>
      </c>
      <c r="O19" s="3">
        <v>484.8</v>
      </c>
    </row>
    <row r="20" spans="1:15" x14ac:dyDescent="0.25">
      <c r="A20">
        <v>3</v>
      </c>
      <c r="B20" t="s">
        <v>21</v>
      </c>
      <c r="C20" t="s">
        <v>30</v>
      </c>
      <c r="D20">
        <v>10</v>
      </c>
      <c r="E20" t="str">
        <f>VLOOKUP($C20,Hoja2!$A:$D,2,0)</f>
        <v>F47649</v>
      </c>
      <c r="F20" t="str">
        <f>VLOOKUP($C20,Hoja2!$A:$D,3,0)</f>
        <v>AVENA ALGARRA TRADICIONAL TB 200ML X6</v>
      </c>
      <c r="G20">
        <f>VLOOKUP($C20,Hoja2!$A:$D,4,0)*D20</f>
        <v>12</v>
      </c>
      <c r="H20" t="str">
        <f>VLOOKUP(A20,Hoja2!H:J,3,0)</f>
        <v>CO15</v>
      </c>
      <c r="L20" t="s">
        <v>21</v>
      </c>
      <c r="O20" s="3">
        <v>475.2</v>
      </c>
    </row>
    <row r="21" spans="1:15" x14ac:dyDescent="0.25">
      <c r="A21">
        <v>3</v>
      </c>
      <c r="B21" t="s">
        <v>21</v>
      </c>
      <c r="C21" t="s">
        <v>31</v>
      </c>
      <c r="D21">
        <v>12</v>
      </c>
      <c r="E21" t="str">
        <f>VLOOKUP($C21,Hoja2!$A:$D,2,0)</f>
        <v>F47427</v>
      </c>
      <c r="F21" t="str">
        <f>VLOOKUP($C21,Hoja2!$A:$D,3,0)</f>
        <v>AVENA ALGARRA TRADICIONAL BS 200ML 7X8</v>
      </c>
      <c r="G21">
        <f>VLOOKUP($C21,Hoja2!$A:$D,4,0)*D21</f>
        <v>19.200000000000003</v>
      </c>
      <c r="H21" t="str">
        <f>VLOOKUP(A21,Hoja2!H:J,3,0)</f>
        <v>CO15</v>
      </c>
      <c r="K21" t="s">
        <v>101</v>
      </c>
      <c r="L21" t="s">
        <v>34</v>
      </c>
      <c r="O21" s="3">
        <v>115.6</v>
      </c>
    </row>
    <row r="22" spans="1:15" x14ac:dyDescent="0.25">
      <c r="A22">
        <v>3</v>
      </c>
      <c r="B22" t="s">
        <v>21</v>
      </c>
      <c r="C22" t="s">
        <v>32</v>
      </c>
      <c r="D22">
        <v>100</v>
      </c>
      <c r="E22" t="str">
        <f>VLOOKUP($C22,Hoja2!$A:$D,2,0)</f>
        <v>F48025</v>
      </c>
      <c r="F22" t="str">
        <f>VLOOKUP($C22,Hoja2!$A:$D,3,0)</f>
        <v>CML CREMAX UHT BS 900 GR</v>
      </c>
      <c r="G22">
        <f>VLOOKUP($C22,Hoja2!$A:$D,4,0)*D22</f>
        <v>90</v>
      </c>
      <c r="H22" t="str">
        <f>VLOOKUP(A22,Hoja2!H:J,3,0)</f>
        <v>CO15</v>
      </c>
      <c r="K22" t="s">
        <v>102</v>
      </c>
      <c r="L22" t="s">
        <v>10</v>
      </c>
      <c r="O22" s="3">
        <v>383</v>
      </c>
    </row>
    <row r="23" spans="1:15" x14ac:dyDescent="0.25">
      <c r="A23">
        <v>4</v>
      </c>
      <c r="B23" t="s">
        <v>9</v>
      </c>
      <c r="C23" t="s">
        <v>8</v>
      </c>
      <c r="D23">
        <v>300</v>
      </c>
      <c r="E23" t="str">
        <f>VLOOKUP($C23,Hoja2!$A:$D,2,0)</f>
        <v>F48809</v>
      </c>
      <c r="F23" t="str">
        <f>VLOOKUP($C23,Hoja2!$A:$D,3,0)</f>
        <v>NECTAR CALIFORNIA SURTIDO TB 200ML 7X10</v>
      </c>
      <c r="G23">
        <f>VLOOKUP($C23,Hoja2!$A:$D,4,0)*D23</f>
        <v>600</v>
      </c>
      <c r="H23" t="str">
        <f>VLOOKUP(A23,Hoja2!H:J,3,0)</f>
        <v>CO05</v>
      </c>
      <c r="K23" t="s">
        <v>112</v>
      </c>
      <c r="O23" s="3">
        <v>10638.4</v>
      </c>
    </row>
    <row r="24" spans="1:15" x14ac:dyDescent="0.25">
      <c r="A24">
        <v>4</v>
      </c>
      <c r="B24" t="s">
        <v>9</v>
      </c>
      <c r="C24" t="s">
        <v>20</v>
      </c>
      <c r="D24">
        <v>24</v>
      </c>
      <c r="E24" t="str">
        <f>VLOOKUP($C24,Hoja2!$A:$D,2,0)</f>
        <v>F48668</v>
      </c>
      <c r="F24" t="str">
        <f>VLOOKUP($C24,Hoja2!$A:$D,3,0)</f>
        <v>NECTAR CALIFORNIA PERA TB 900ML</v>
      </c>
      <c r="G24">
        <f>VLOOKUP($C24,Hoja2!$A:$D,4,0)*D24</f>
        <v>21.6</v>
      </c>
      <c r="H24" t="str">
        <f>VLOOKUP(A24,Hoja2!H:J,3,0)</f>
        <v>CO05</v>
      </c>
    </row>
    <row r="25" spans="1:15" x14ac:dyDescent="0.25">
      <c r="A25">
        <v>4</v>
      </c>
      <c r="B25" t="s">
        <v>9</v>
      </c>
      <c r="C25" t="s">
        <v>23</v>
      </c>
      <c r="D25">
        <v>24</v>
      </c>
      <c r="E25" t="str">
        <f>VLOOKUP($C25,Hoja2!$A:$D,2,0)</f>
        <v>F48667</v>
      </c>
      <c r="F25" t="str">
        <f>VLOOKUP($C25,Hoja2!$A:$D,3,0)</f>
        <v>NECTAR CALIFORNIA MANZANA TB 900ML</v>
      </c>
      <c r="G25">
        <f>VLOOKUP($C25,Hoja2!$A:$D,4,0)*D25</f>
        <v>21.6</v>
      </c>
      <c r="H25" t="str">
        <f>VLOOKUP(A25,Hoja2!H:J,3,0)</f>
        <v>CO05</v>
      </c>
    </row>
    <row r="26" spans="1:15" x14ac:dyDescent="0.25">
      <c r="A26">
        <v>4</v>
      </c>
      <c r="B26" t="s">
        <v>9</v>
      </c>
      <c r="C26" t="s">
        <v>28</v>
      </c>
      <c r="D26">
        <v>10</v>
      </c>
      <c r="E26" t="str">
        <f>VLOOKUP($C26,Hoja2!$A:$D,2,0)</f>
        <v>F47006</v>
      </c>
      <c r="F26" t="str">
        <f>VLOOKUP($C26,Hoja2!$A:$D,3,0)</f>
        <v>AVENA ALGARRA CANELA TB 200ML X6</v>
      </c>
      <c r="G26">
        <f>VLOOKUP($C26,Hoja2!$A:$D,4,0)*D26</f>
        <v>12</v>
      </c>
      <c r="H26" t="str">
        <f>VLOOKUP(A26,Hoja2!H:J,3,0)</f>
        <v>CO05</v>
      </c>
    </row>
    <row r="27" spans="1:15" x14ac:dyDescent="0.25">
      <c r="A27">
        <v>4</v>
      </c>
      <c r="B27" t="s">
        <v>9</v>
      </c>
      <c r="C27" t="s">
        <v>29</v>
      </c>
      <c r="D27">
        <v>12</v>
      </c>
      <c r="E27" t="str">
        <f>VLOOKUP($C27,Hoja2!$A:$D,2,0)</f>
        <v>F47013</v>
      </c>
      <c r="F27" t="str">
        <f>VLOOKUP($C27,Hoja2!$A:$D,3,0)</f>
        <v>AVENA ALGARRA CANELA BS 200ML 7X8</v>
      </c>
      <c r="G27">
        <f>VLOOKUP($C27,Hoja2!$A:$D,4,0)*D27</f>
        <v>19.200000000000003</v>
      </c>
      <c r="H27" t="str">
        <f>VLOOKUP(A27,Hoja2!H:J,3,0)</f>
        <v>CO05</v>
      </c>
    </row>
    <row r="28" spans="1:15" x14ac:dyDescent="0.25">
      <c r="A28">
        <v>4</v>
      </c>
      <c r="B28" t="s">
        <v>9</v>
      </c>
      <c r="C28" t="s">
        <v>30</v>
      </c>
      <c r="D28">
        <v>10</v>
      </c>
      <c r="E28" t="str">
        <f>VLOOKUP($C28,Hoja2!$A:$D,2,0)</f>
        <v>F47649</v>
      </c>
      <c r="F28" t="str">
        <f>VLOOKUP($C28,Hoja2!$A:$D,3,0)</f>
        <v>AVENA ALGARRA TRADICIONAL TB 200ML X6</v>
      </c>
      <c r="G28">
        <f>VLOOKUP($C28,Hoja2!$A:$D,4,0)*D28</f>
        <v>12</v>
      </c>
      <c r="H28" t="str">
        <f>VLOOKUP(A28,Hoja2!H:J,3,0)</f>
        <v>CO05</v>
      </c>
    </row>
    <row r="29" spans="1:15" x14ac:dyDescent="0.25">
      <c r="A29">
        <v>4</v>
      </c>
      <c r="B29" t="s">
        <v>9</v>
      </c>
      <c r="C29" t="s">
        <v>32</v>
      </c>
      <c r="D29">
        <v>100</v>
      </c>
      <c r="E29" t="str">
        <f>VLOOKUP($C29,Hoja2!$A:$D,2,0)</f>
        <v>F48025</v>
      </c>
      <c r="F29" t="str">
        <f>VLOOKUP($C29,Hoja2!$A:$D,3,0)</f>
        <v>CML CREMAX UHT BS 900 GR</v>
      </c>
      <c r="G29">
        <f>VLOOKUP($C29,Hoja2!$A:$D,4,0)*D29</f>
        <v>90</v>
      </c>
      <c r="H29" t="str">
        <f>VLOOKUP(A29,Hoja2!H:J,3,0)</f>
        <v>CO05</v>
      </c>
    </row>
    <row r="30" spans="1:15" x14ac:dyDescent="0.25">
      <c r="A30">
        <v>4</v>
      </c>
      <c r="B30" t="s">
        <v>9</v>
      </c>
      <c r="C30" t="s">
        <v>33</v>
      </c>
      <c r="D30">
        <v>100</v>
      </c>
      <c r="E30" t="str">
        <f>VLOOKUP($C30,Hoja2!$A:$D,2,0)</f>
        <v>F48010</v>
      </c>
      <c r="F30" t="str">
        <f>VLOOKUP($C30,Hoja2!$A:$D,3,0)</f>
        <v>CML DE LA FINCA UHT BS 900 GR</v>
      </c>
      <c r="G30">
        <f>VLOOKUP($C30,Hoja2!$A:$D,4,0)*D30</f>
        <v>90</v>
      </c>
      <c r="H30" t="str">
        <f>VLOOKUP(A30,Hoja2!H:J,3,0)</f>
        <v>CO05</v>
      </c>
    </row>
    <row r="31" spans="1:15" x14ac:dyDescent="0.25">
      <c r="A31">
        <v>5</v>
      </c>
      <c r="B31" t="s">
        <v>18</v>
      </c>
      <c r="C31" t="s">
        <v>19</v>
      </c>
      <c r="D31">
        <v>30</v>
      </c>
      <c r="E31" t="str">
        <f>VLOOKUP($C31,Hoja2!$A:$D,2,0)</f>
        <v>F48670</v>
      </c>
      <c r="F31" t="str">
        <f>VLOOKUP($C31,Hoja2!$A:$D,3,0)</f>
        <v>NECTAR CALIFORNIA SURT TB 900ML X3</v>
      </c>
      <c r="G31">
        <f>VLOOKUP($C31,Hoja2!$A:$D,4,0)*D31</f>
        <v>81</v>
      </c>
      <c r="H31" t="str">
        <f>VLOOKUP(A31,Hoja2!H:J,3,0)</f>
        <v>CO11</v>
      </c>
    </row>
    <row r="32" spans="1:15" x14ac:dyDescent="0.25">
      <c r="A32">
        <v>5</v>
      </c>
      <c r="B32" t="s">
        <v>18</v>
      </c>
      <c r="C32" t="s">
        <v>20</v>
      </c>
      <c r="D32">
        <v>48</v>
      </c>
      <c r="E32" t="str">
        <f>VLOOKUP($C32,Hoja2!$A:$D,2,0)</f>
        <v>F48668</v>
      </c>
      <c r="F32" t="str">
        <f>VLOOKUP($C32,Hoja2!$A:$D,3,0)</f>
        <v>NECTAR CALIFORNIA PERA TB 900ML</v>
      </c>
      <c r="G32">
        <f>VLOOKUP($C32,Hoja2!$A:$D,4,0)*D32</f>
        <v>43.2</v>
      </c>
      <c r="H32" t="str">
        <f>VLOOKUP(A32,Hoja2!H:J,3,0)</f>
        <v>CO11</v>
      </c>
    </row>
    <row r="33" spans="1:8" x14ac:dyDescent="0.25">
      <c r="A33">
        <v>5</v>
      </c>
      <c r="B33" t="s">
        <v>18</v>
      </c>
      <c r="C33" t="s">
        <v>23</v>
      </c>
      <c r="D33">
        <v>48</v>
      </c>
      <c r="E33" t="str">
        <f>VLOOKUP($C33,Hoja2!$A:$D,2,0)</f>
        <v>F48667</v>
      </c>
      <c r="F33" t="str">
        <f>VLOOKUP($C33,Hoja2!$A:$D,3,0)</f>
        <v>NECTAR CALIFORNIA MANZANA TB 900ML</v>
      </c>
      <c r="G33">
        <f>VLOOKUP($C33,Hoja2!$A:$D,4,0)*D33</f>
        <v>43.2</v>
      </c>
      <c r="H33" t="str">
        <f>VLOOKUP(A33,Hoja2!H:J,3,0)</f>
        <v>CO11</v>
      </c>
    </row>
    <row r="34" spans="1:8" x14ac:dyDescent="0.25">
      <c r="A34">
        <v>5</v>
      </c>
      <c r="B34" t="s">
        <v>18</v>
      </c>
      <c r="C34" t="s">
        <v>24</v>
      </c>
      <c r="D34">
        <v>300</v>
      </c>
      <c r="E34" t="str">
        <f>VLOOKUP($C34,Hoja2!$A:$D,2,0)</f>
        <v>F44225</v>
      </c>
      <c r="F34" t="str">
        <f>VLOOKUP($C34,Hoja2!$A:$D,3,0)</f>
        <v>FRESKY CALIFORNIA SUR PUN TB 200ML 10X12</v>
      </c>
      <c r="G34">
        <f>VLOOKUP($C34,Hoja2!$A:$D,4,0)*D34</f>
        <v>720</v>
      </c>
      <c r="H34" t="str">
        <f>VLOOKUP(A34,Hoja2!H:J,3,0)</f>
        <v>CO11</v>
      </c>
    </row>
    <row r="35" spans="1:8" x14ac:dyDescent="0.25">
      <c r="A35">
        <v>5</v>
      </c>
      <c r="B35" t="s">
        <v>18</v>
      </c>
      <c r="C35" t="s">
        <v>29</v>
      </c>
      <c r="D35">
        <v>30</v>
      </c>
      <c r="E35" t="str">
        <f>VLOOKUP($C35,Hoja2!$A:$D,2,0)</f>
        <v>F47013</v>
      </c>
      <c r="F35" t="str">
        <f>VLOOKUP($C35,Hoja2!$A:$D,3,0)</f>
        <v>AVENA ALGARRA CANELA BS 200ML 7X8</v>
      </c>
      <c r="G35">
        <f>VLOOKUP($C35,Hoja2!$A:$D,4,0)*D35</f>
        <v>48</v>
      </c>
      <c r="H35" t="str">
        <f>VLOOKUP(A35,Hoja2!H:J,3,0)</f>
        <v>CO11</v>
      </c>
    </row>
    <row r="36" spans="1:8" x14ac:dyDescent="0.25">
      <c r="A36">
        <v>5</v>
      </c>
      <c r="B36" t="s">
        <v>18</v>
      </c>
      <c r="C36" t="s">
        <v>31</v>
      </c>
      <c r="D36">
        <v>10</v>
      </c>
      <c r="E36" t="str">
        <f>VLOOKUP($C36,Hoja2!$A:$D,2,0)</f>
        <v>F47427</v>
      </c>
      <c r="F36" t="str">
        <f>VLOOKUP($C36,Hoja2!$A:$D,3,0)</f>
        <v>AVENA ALGARRA TRADICIONAL BS 200ML 7X8</v>
      </c>
      <c r="G36">
        <f>VLOOKUP($C36,Hoja2!$A:$D,4,0)*D36</f>
        <v>16</v>
      </c>
      <c r="H36" t="str">
        <f>VLOOKUP(A36,Hoja2!H:J,3,0)</f>
        <v>CO11</v>
      </c>
    </row>
    <row r="37" spans="1:8" x14ac:dyDescent="0.25">
      <c r="A37">
        <v>5</v>
      </c>
      <c r="B37" t="s">
        <v>18</v>
      </c>
      <c r="C37" t="s">
        <v>32</v>
      </c>
      <c r="D37">
        <v>200</v>
      </c>
      <c r="E37" t="str">
        <f>VLOOKUP($C37,Hoja2!$A:$D,2,0)</f>
        <v>F48025</v>
      </c>
      <c r="F37" t="str">
        <f>VLOOKUP($C37,Hoja2!$A:$D,3,0)</f>
        <v>CML CREMAX UHT BS 900 GR</v>
      </c>
      <c r="G37">
        <f>VLOOKUP($C37,Hoja2!$A:$D,4,0)*D37</f>
        <v>180</v>
      </c>
      <c r="H37" t="str">
        <f>VLOOKUP(A37,Hoja2!H:J,3,0)</f>
        <v>CO11</v>
      </c>
    </row>
    <row r="38" spans="1:8" x14ac:dyDescent="0.25">
      <c r="A38">
        <v>5</v>
      </c>
      <c r="B38" t="s">
        <v>18</v>
      </c>
      <c r="C38" t="s">
        <v>33</v>
      </c>
      <c r="D38">
        <v>200</v>
      </c>
      <c r="E38" t="str">
        <f>VLOOKUP($C38,Hoja2!$A:$D,2,0)</f>
        <v>F48010</v>
      </c>
      <c r="F38" t="str">
        <f>VLOOKUP($C38,Hoja2!$A:$D,3,0)</f>
        <v>CML DE LA FINCA UHT BS 900 GR</v>
      </c>
      <c r="G38">
        <f>VLOOKUP($C38,Hoja2!$A:$D,4,0)*D38</f>
        <v>180</v>
      </c>
      <c r="H38" t="str">
        <f>VLOOKUP(A38,Hoja2!H:J,3,0)</f>
        <v>CO11</v>
      </c>
    </row>
    <row r="39" spans="1:8" x14ac:dyDescent="0.25">
      <c r="A39">
        <v>7</v>
      </c>
      <c r="B39" t="s">
        <v>34</v>
      </c>
      <c r="C39" t="s">
        <v>28</v>
      </c>
      <c r="D39">
        <v>8</v>
      </c>
      <c r="E39" t="str">
        <f>VLOOKUP($C39,Hoja2!$A:$D,2,0)</f>
        <v>F47006</v>
      </c>
      <c r="F39" t="str">
        <f>VLOOKUP($C39,Hoja2!$A:$D,3,0)</f>
        <v>AVENA ALGARRA CANELA TB 200ML X6</v>
      </c>
      <c r="G39">
        <f>VLOOKUP($C39,Hoja2!$A:$D,4,0)*D39</f>
        <v>9.6</v>
      </c>
      <c r="H39" t="str">
        <f>VLOOKUP(A39,Hoja2!H:J,3,0)</f>
        <v>CO16</v>
      </c>
    </row>
    <row r="40" spans="1:8" x14ac:dyDescent="0.25">
      <c r="A40">
        <v>7</v>
      </c>
      <c r="B40" t="s">
        <v>34</v>
      </c>
      <c r="C40" t="s">
        <v>31</v>
      </c>
      <c r="D40">
        <v>10</v>
      </c>
      <c r="E40" t="str">
        <f>VLOOKUP($C40,Hoja2!$A:$D,2,0)</f>
        <v>F47427</v>
      </c>
      <c r="F40" t="str">
        <f>VLOOKUP($C40,Hoja2!$A:$D,3,0)</f>
        <v>AVENA ALGARRA TRADICIONAL BS 200ML 7X8</v>
      </c>
      <c r="G40">
        <f>VLOOKUP($C40,Hoja2!$A:$D,4,0)*D40</f>
        <v>16</v>
      </c>
      <c r="H40" t="str">
        <f>VLOOKUP(A40,Hoja2!H:J,3,0)</f>
        <v>CO16</v>
      </c>
    </row>
    <row r="41" spans="1:8" x14ac:dyDescent="0.25">
      <c r="A41">
        <v>7</v>
      </c>
      <c r="B41" t="s">
        <v>34</v>
      </c>
      <c r="C41" t="s">
        <v>33</v>
      </c>
      <c r="D41">
        <v>100</v>
      </c>
      <c r="E41" t="str">
        <f>VLOOKUP($C41,Hoja2!$A:$D,2,0)</f>
        <v>F48010</v>
      </c>
      <c r="F41" t="str">
        <f>VLOOKUP($C41,Hoja2!$A:$D,3,0)</f>
        <v>CML DE LA FINCA UHT BS 900 GR</v>
      </c>
      <c r="G41">
        <f>VLOOKUP($C41,Hoja2!$A:$D,4,0)*D41</f>
        <v>90</v>
      </c>
      <c r="H41" t="str">
        <f>VLOOKUP(A41,Hoja2!H:J,3,0)</f>
        <v>CO16</v>
      </c>
    </row>
    <row r="42" spans="1:8" x14ac:dyDescent="0.25">
      <c r="A42">
        <v>8</v>
      </c>
      <c r="B42" t="s">
        <v>17</v>
      </c>
      <c r="C42" t="s">
        <v>16</v>
      </c>
      <c r="D42">
        <v>24</v>
      </c>
      <c r="E42" t="str">
        <f>VLOOKUP($C42,Hoja2!$A:$D,2,0)</f>
        <v>F48669</v>
      </c>
      <c r="F42" t="str">
        <f>VLOOKUP($C42,Hoja2!$A:$D,3,0)</f>
        <v>NECTAR CALIFORNIA DURAZNO TB 900ML</v>
      </c>
      <c r="G42">
        <f>VLOOKUP($C42,Hoja2!$A:$D,4,0)*D42</f>
        <v>21.6</v>
      </c>
      <c r="H42" t="str">
        <f>VLOOKUP(A42,Hoja2!H:J,3,0)</f>
        <v>CO02</v>
      </c>
    </row>
    <row r="43" spans="1:8" x14ac:dyDescent="0.25">
      <c r="A43">
        <v>8</v>
      </c>
      <c r="B43" t="s">
        <v>17</v>
      </c>
      <c r="C43" t="s">
        <v>20</v>
      </c>
      <c r="D43">
        <v>24</v>
      </c>
      <c r="E43" t="str">
        <f>VLOOKUP($C43,Hoja2!$A:$D,2,0)</f>
        <v>F48668</v>
      </c>
      <c r="F43" t="str">
        <f>VLOOKUP($C43,Hoja2!$A:$D,3,0)</f>
        <v>NECTAR CALIFORNIA PERA TB 900ML</v>
      </c>
      <c r="G43">
        <f>VLOOKUP($C43,Hoja2!$A:$D,4,0)*D43</f>
        <v>21.6</v>
      </c>
      <c r="H43" t="str">
        <f>VLOOKUP(A43,Hoja2!H:J,3,0)</f>
        <v>CO02</v>
      </c>
    </row>
    <row r="44" spans="1:8" x14ac:dyDescent="0.25">
      <c r="A44">
        <v>8</v>
      </c>
      <c r="B44" t="s">
        <v>17</v>
      </c>
      <c r="C44" t="s">
        <v>28</v>
      </c>
      <c r="D44">
        <v>10</v>
      </c>
      <c r="E44" t="str">
        <f>VLOOKUP($C44,Hoja2!$A:$D,2,0)</f>
        <v>F47006</v>
      </c>
      <c r="F44" t="str">
        <f>VLOOKUP($C44,Hoja2!$A:$D,3,0)</f>
        <v>AVENA ALGARRA CANELA TB 200ML X6</v>
      </c>
      <c r="G44">
        <f>VLOOKUP($C44,Hoja2!$A:$D,4,0)*D44</f>
        <v>12</v>
      </c>
      <c r="H44" t="str">
        <f>VLOOKUP(A44,Hoja2!H:J,3,0)</f>
        <v>CO02</v>
      </c>
    </row>
    <row r="45" spans="1:8" x14ac:dyDescent="0.25">
      <c r="A45">
        <v>8</v>
      </c>
      <c r="B45" t="s">
        <v>17</v>
      </c>
      <c r="C45" t="s">
        <v>29</v>
      </c>
      <c r="D45">
        <v>12</v>
      </c>
      <c r="E45" t="str">
        <f>VLOOKUP($C45,Hoja2!$A:$D,2,0)</f>
        <v>F47013</v>
      </c>
      <c r="F45" t="str">
        <f>VLOOKUP($C45,Hoja2!$A:$D,3,0)</f>
        <v>AVENA ALGARRA CANELA BS 200ML 7X8</v>
      </c>
      <c r="G45">
        <f>VLOOKUP($C45,Hoja2!$A:$D,4,0)*D45</f>
        <v>19.200000000000003</v>
      </c>
      <c r="H45" t="str">
        <f>VLOOKUP(A45,Hoja2!H:J,3,0)</f>
        <v>CO02</v>
      </c>
    </row>
    <row r="46" spans="1:8" x14ac:dyDescent="0.25">
      <c r="A46">
        <v>8</v>
      </c>
      <c r="B46" t="s">
        <v>17</v>
      </c>
      <c r="C46" t="s">
        <v>30</v>
      </c>
      <c r="D46">
        <v>10</v>
      </c>
      <c r="E46" t="str">
        <f>VLOOKUP($C46,Hoja2!$A:$D,2,0)</f>
        <v>F47649</v>
      </c>
      <c r="F46" t="str">
        <f>VLOOKUP($C46,Hoja2!$A:$D,3,0)</f>
        <v>AVENA ALGARRA TRADICIONAL TB 200ML X6</v>
      </c>
      <c r="G46">
        <f>VLOOKUP($C46,Hoja2!$A:$D,4,0)*D46</f>
        <v>12</v>
      </c>
      <c r="H46" t="str">
        <f>VLOOKUP(A46,Hoja2!H:J,3,0)</f>
        <v>CO02</v>
      </c>
    </row>
    <row r="47" spans="1:8" x14ac:dyDescent="0.25">
      <c r="A47">
        <v>8</v>
      </c>
      <c r="B47" t="s">
        <v>17</v>
      </c>
      <c r="C47" t="s">
        <v>32</v>
      </c>
      <c r="D47">
        <v>100</v>
      </c>
      <c r="E47" t="str">
        <f>VLOOKUP($C47,Hoja2!$A:$D,2,0)</f>
        <v>F48025</v>
      </c>
      <c r="F47" t="str">
        <f>VLOOKUP($C47,Hoja2!$A:$D,3,0)</f>
        <v>CML CREMAX UHT BS 900 GR</v>
      </c>
      <c r="G47">
        <f>VLOOKUP($C47,Hoja2!$A:$D,4,0)*D47</f>
        <v>90</v>
      </c>
      <c r="H47" t="str">
        <f>VLOOKUP(A47,Hoja2!H:J,3,0)</f>
        <v>CO02</v>
      </c>
    </row>
    <row r="48" spans="1:8" x14ac:dyDescent="0.25">
      <c r="A48">
        <v>8</v>
      </c>
      <c r="B48" t="s">
        <v>17</v>
      </c>
      <c r="C48" t="s">
        <v>33</v>
      </c>
      <c r="D48">
        <v>100</v>
      </c>
      <c r="E48" t="str">
        <f>VLOOKUP($C48,Hoja2!$A:$D,2,0)</f>
        <v>F48010</v>
      </c>
      <c r="F48" t="str">
        <f>VLOOKUP($C48,Hoja2!$A:$D,3,0)</f>
        <v>CML DE LA FINCA UHT BS 900 GR</v>
      </c>
      <c r="G48">
        <f>VLOOKUP($C48,Hoja2!$A:$D,4,0)*D48</f>
        <v>90</v>
      </c>
      <c r="H48" t="str">
        <f>VLOOKUP(A48,Hoja2!H:J,3,0)</f>
        <v>CO02</v>
      </c>
    </row>
    <row r="49" spans="1:8" x14ac:dyDescent="0.25">
      <c r="A49">
        <v>9</v>
      </c>
      <c r="B49" t="s">
        <v>10</v>
      </c>
      <c r="C49" t="s">
        <v>8</v>
      </c>
      <c r="D49">
        <v>100</v>
      </c>
      <c r="E49" t="str">
        <f>VLOOKUP($C49,Hoja2!$A:$D,2,0)</f>
        <v>F48809</v>
      </c>
      <c r="F49" t="str">
        <f>VLOOKUP($C49,Hoja2!$A:$D,3,0)</f>
        <v>NECTAR CALIFORNIA SURTIDO TB 200ML 7X10</v>
      </c>
      <c r="G49">
        <f>VLOOKUP($C49,Hoja2!$A:$D,4,0)*D49</f>
        <v>200</v>
      </c>
      <c r="H49" t="str">
        <f>VLOOKUP(A49,Hoja2!H:J,3,0)</f>
        <v>CO17</v>
      </c>
    </row>
    <row r="50" spans="1:8" x14ac:dyDescent="0.25">
      <c r="A50">
        <v>9</v>
      </c>
      <c r="B50" t="s">
        <v>10</v>
      </c>
      <c r="C50" t="s">
        <v>16</v>
      </c>
      <c r="D50">
        <v>24</v>
      </c>
      <c r="E50" t="str">
        <f>VLOOKUP($C50,Hoja2!$A:$D,2,0)</f>
        <v>F48669</v>
      </c>
      <c r="F50" t="str">
        <f>VLOOKUP($C50,Hoja2!$A:$D,3,0)</f>
        <v>NECTAR CALIFORNIA DURAZNO TB 900ML</v>
      </c>
      <c r="G50">
        <f>VLOOKUP($C50,Hoja2!$A:$D,4,0)*D50</f>
        <v>21.6</v>
      </c>
      <c r="H50" t="str">
        <f>VLOOKUP(A50,Hoja2!H:J,3,0)</f>
        <v>CO17</v>
      </c>
    </row>
    <row r="51" spans="1:8" x14ac:dyDescent="0.25">
      <c r="A51">
        <v>9</v>
      </c>
      <c r="B51" t="s">
        <v>10</v>
      </c>
      <c r="C51" t="s">
        <v>19</v>
      </c>
      <c r="D51">
        <v>24</v>
      </c>
      <c r="E51" t="str">
        <f>VLOOKUP($C51,Hoja2!$A:$D,2,0)</f>
        <v>F48670</v>
      </c>
      <c r="F51" t="str">
        <f>VLOOKUP($C51,Hoja2!$A:$D,3,0)</f>
        <v>NECTAR CALIFORNIA SURT TB 900ML X3</v>
      </c>
      <c r="G51">
        <f>VLOOKUP($C51,Hoja2!$A:$D,4,0)*D51</f>
        <v>64.800000000000011</v>
      </c>
      <c r="H51" t="str">
        <f>VLOOKUP(A51,Hoja2!H:J,3,0)</f>
        <v>CO17</v>
      </c>
    </row>
    <row r="52" spans="1:8" x14ac:dyDescent="0.25">
      <c r="A52">
        <v>9</v>
      </c>
      <c r="B52" t="s">
        <v>10</v>
      </c>
      <c r="C52" t="s">
        <v>20</v>
      </c>
      <c r="D52">
        <v>24</v>
      </c>
      <c r="E52" t="str">
        <f>VLOOKUP($C52,Hoja2!$A:$D,2,0)</f>
        <v>F48668</v>
      </c>
      <c r="F52" t="str">
        <f>VLOOKUP($C52,Hoja2!$A:$D,3,0)</f>
        <v>NECTAR CALIFORNIA PERA TB 900ML</v>
      </c>
      <c r="G52">
        <f>VLOOKUP($C52,Hoja2!$A:$D,4,0)*D52</f>
        <v>21.6</v>
      </c>
      <c r="H52" t="str">
        <f>VLOOKUP(A52,Hoja2!H:J,3,0)</f>
        <v>CO17</v>
      </c>
    </row>
    <row r="53" spans="1:8" x14ac:dyDescent="0.25">
      <c r="A53">
        <v>9</v>
      </c>
      <c r="B53" t="s">
        <v>10</v>
      </c>
      <c r="C53" t="s">
        <v>28</v>
      </c>
      <c r="D53">
        <v>8</v>
      </c>
      <c r="E53" t="str">
        <f>VLOOKUP($C53,Hoja2!$A:$D,2,0)</f>
        <v>F47006</v>
      </c>
      <c r="F53" t="str">
        <f>VLOOKUP($C53,Hoja2!$A:$D,3,0)</f>
        <v>AVENA ALGARRA CANELA TB 200ML X6</v>
      </c>
      <c r="G53">
        <f>VLOOKUP($C53,Hoja2!$A:$D,4,0)*D53</f>
        <v>9.6</v>
      </c>
      <c r="H53" t="str">
        <f>VLOOKUP(A53,Hoja2!H:J,3,0)</f>
        <v>CO17</v>
      </c>
    </row>
    <row r="54" spans="1:8" x14ac:dyDescent="0.25">
      <c r="A54">
        <v>9</v>
      </c>
      <c r="B54" t="s">
        <v>10</v>
      </c>
      <c r="C54" t="s">
        <v>29</v>
      </c>
      <c r="D54">
        <v>12</v>
      </c>
      <c r="E54" t="str">
        <f>VLOOKUP($C54,Hoja2!$A:$D,2,0)</f>
        <v>F47013</v>
      </c>
      <c r="F54" t="str">
        <f>VLOOKUP($C54,Hoja2!$A:$D,3,0)</f>
        <v>AVENA ALGARRA CANELA BS 200ML 7X8</v>
      </c>
      <c r="G54">
        <f>VLOOKUP($C54,Hoja2!$A:$D,4,0)*D54</f>
        <v>19.200000000000003</v>
      </c>
      <c r="H54" t="str">
        <f>VLOOKUP(A54,Hoja2!H:J,3,0)</f>
        <v>CO17</v>
      </c>
    </row>
    <row r="55" spans="1:8" x14ac:dyDescent="0.25">
      <c r="A55">
        <v>9</v>
      </c>
      <c r="B55" t="s">
        <v>10</v>
      </c>
      <c r="C55" t="s">
        <v>31</v>
      </c>
      <c r="D55">
        <v>12</v>
      </c>
      <c r="E55" t="str">
        <f>VLOOKUP($C55,Hoja2!$A:$D,2,0)</f>
        <v>F47427</v>
      </c>
      <c r="F55" t="str">
        <f>VLOOKUP($C55,Hoja2!$A:$D,3,0)</f>
        <v>AVENA ALGARRA TRADICIONAL BS 200ML 7X8</v>
      </c>
      <c r="G55">
        <f>VLOOKUP($C55,Hoja2!$A:$D,4,0)*D55</f>
        <v>19.200000000000003</v>
      </c>
      <c r="H55" t="str">
        <f>VLOOKUP(A55,Hoja2!H:J,3,0)</f>
        <v>CO17</v>
      </c>
    </row>
    <row r="56" spans="1:8" x14ac:dyDescent="0.25">
      <c r="A56">
        <v>9</v>
      </c>
      <c r="B56" t="s">
        <v>10</v>
      </c>
      <c r="C56" t="s">
        <v>33</v>
      </c>
      <c r="D56">
        <v>30</v>
      </c>
      <c r="E56" t="str">
        <f>VLOOKUP($C56,Hoja2!$A:$D,2,0)</f>
        <v>F48010</v>
      </c>
      <c r="F56" t="str">
        <f>VLOOKUP($C56,Hoja2!$A:$D,3,0)</f>
        <v>CML DE LA FINCA UHT BS 900 GR</v>
      </c>
      <c r="G56">
        <f>VLOOKUP($C56,Hoja2!$A:$D,4,0)*D56</f>
        <v>27</v>
      </c>
      <c r="H56" t="str">
        <f>VLOOKUP(A56,Hoja2!H:J,3,0)</f>
        <v>CO17</v>
      </c>
    </row>
    <row r="57" spans="1:8" x14ac:dyDescent="0.25">
      <c r="A57">
        <v>10</v>
      </c>
      <c r="B57" t="s">
        <v>3</v>
      </c>
      <c r="C57" t="s">
        <v>4</v>
      </c>
      <c r="D57">
        <v>30</v>
      </c>
      <c r="E57" t="str">
        <f>VLOOKUP($C57,Hoja2!$A:$D,2,0)</f>
        <v>F48739</v>
      </c>
      <c r="F57" t="str">
        <f>VLOOKUP($C57,Hoja2!$A:$D,3,0)</f>
        <v>NECTAR CALIFORNIA SURT. PET X6 300 ML</v>
      </c>
      <c r="G57">
        <f>VLOOKUP($C57,Hoja2!$A:$D,4,0)*D57</f>
        <v>54</v>
      </c>
      <c r="H57" t="str">
        <f>VLOOKUP(A57,Hoja2!H:J,3,0)</f>
        <v>CO09</v>
      </c>
    </row>
    <row r="58" spans="1:8" x14ac:dyDescent="0.25">
      <c r="A58">
        <v>10</v>
      </c>
      <c r="B58" t="s">
        <v>3</v>
      </c>
      <c r="C58" t="s">
        <v>19</v>
      </c>
      <c r="D58">
        <v>18</v>
      </c>
      <c r="E58" t="str">
        <f>VLOOKUP($C58,Hoja2!$A:$D,2,0)</f>
        <v>F48670</v>
      </c>
      <c r="F58" t="str">
        <f>VLOOKUP($C58,Hoja2!$A:$D,3,0)</f>
        <v>NECTAR CALIFORNIA SURT TB 900ML X3</v>
      </c>
      <c r="G58">
        <f>VLOOKUP($C58,Hoja2!$A:$D,4,0)*D58</f>
        <v>48.6</v>
      </c>
      <c r="H58" t="str">
        <f>VLOOKUP(A58,Hoja2!H:J,3,0)</f>
        <v>CO09</v>
      </c>
    </row>
    <row r="59" spans="1:8" x14ac:dyDescent="0.25">
      <c r="A59">
        <v>10</v>
      </c>
      <c r="B59" t="s">
        <v>3</v>
      </c>
      <c r="C59" t="s">
        <v>20</v>
      </c>
      <c r="D59">
        <v>60</v>
      </c>
      <c r="E59" t="str">
        <f>VLOOKUP($C59,Hoja2!$A:$D,2,0)</f>
        <v>F48668</v>
      </c>
      <c r="F59" t="str">
        <f>VLOOKUP($C59,Hoja2!$A:$D,3,0)</f>
        <v>NECTAR CALIFORNIA PERA TB 900ML</v>
      </c>
      <c r="G59">
        <f>VLOOKUP($C59,Hoja2!$A:$D,4,0)*D59</f>
        <v>54</v>
      </c>
      <c r="H59" t="str">
        <f>VLOOKUP(A59,Hoja2!H:J,3,0)</f>
        <v>CO09</v>
      </c>
    </row>
    <row r="60" spans="1:8" x14ac:dyDescent="0.25">
      <c r="A60">
        <v>10</v>
      </c>
      <c r="B60" t="s">
        <v>3</v>
      </c>
      <c r="C60" t="s">
        <v>23</v>
      </c>
      <c r="D60">
        <v>60</v>
      </c>
      <c r="E60" t="str">
        <f>VLOOKUP($C60,Hoja2!$A:$D,2,0)</f>
        <v>F48667</v>
      </c>
      <c r="F60" t="str">
        <f>VLOOKUP($C60,Hoja2!$A:$D,3,0)</f>
        <v>NECTAR CALIFORNIA MANZANA TB 900ML</v>
      </c>
      <c r="G60">
        <f>VLOOKUP($C60,Hoja2!$A:$D,4,0)*D60</f>
        <v>54</v>
      </c>
      <c r="H60" t="str">
        <f>VLOOKUP(A60,Hoja2!H:J,3,0)</f>
        <v>CO09</v>
      </c>
    </row>
    <row r="61" spans="1:8" x14ac:dyDescent="0.25">
      <c r="A61">
        <v>10</v>
      </c>
      <c r="B61" t="s">
        <v>3</v>
      </c>
      <c r="C61" t="s">
        <v>24</v>
      </c>
      <c r="D61">
        <v>200</v>
      </c>
      <c r="E61" t="str">
        <f>VLOOKUP($C61,Hoja2!$A:$D,2,0)</f>
        <v>F44225</v>
      </c>
      <c r="F61" t="str">
        <f>VLOOKUP($C61,Hoja2!$A:$D,3,0)</f>
        <v>FRESKY CALIFORNIA SUR PUN TB 200ML 10X12</v>
      </c>
      <c r="G61">
        <f>VLOOKUP($C61,Hoja2!$A:$D,4,0)*D61</f>
        <v>480</v>
      </c>
      <c r="H61" t="str">
        <f>VLOOKUP(A61,Hoja2!H:J,3,0)</f>
        <v>CO09</v>
      </c>
    </row>
    <row r="62" spans="1:8" x14ac:dyDescent="0.25">
      <c r="A62">
        <v>10</v>
      </c>
      <c r="B62" t="s">
        <v>3</v>
      </c>
      <c r="C62" t="s">
        <v>25</v>
      </c>
      <c r="D62">
        <v>30</v>
      </c>
      <c r="E62" t="str">
        <f>VLOOKUP($C62,Hoja2!$A:$D,2,0)</f>
        <v>F44226</v>
      </c>
      <c r="F62" t="str">
        <f>VLOOKUP($C62,Hoja2!$A:$D,3,0)</f>
        <v>TE CALIFORNIA SURTIDO 200 ML TB X6</v>
      </c>
      <c r="G62">
        <f>VLOOKUP($C62,Hoja2!$A:$D,4,0)*D62</f>
        <v>36</v>
      </c>
      <c r="H62" t="str">
        <f>VLOOKUP(A62,Hoja2!H:J,3,0)</f>
        <v>CO09</v>
      </c>
    </row>
    <row r="63" spans="1:8" x14ac:dyDescent="0.25">
      <c r="A63">
        <v>10</v>
      </c>
      <c r="B63" t="s">
        <v>3</v>
      </c>
      <c r="C63" t="s">
        <v>28</v>
      </c>
      <c r="D63">
        <v>10</v>
      </c>
      <c r="E63" t="str">
        <f>VLOOKUP($C63,Hoja2!$A:$D,2,0)</f>
        <v>F47006</v>
      </c>
      <c r="F63" t="str">
        <f>VLOOKUP($C63,Hoja2!$A:$D,3,0)</f>
        <v>AVENA ALGARRA CANELA TB 200ML X6</v>
      </c>
      <c r="G63">
        <f>VLOOKUP($C63,Hoja2!$A:$D,4,0)*D63</f>
        <v>12</v>
      </c>
      <c r="H63" t="str">
        <f>VLOOKUP(A63,Hoja2!H:J,3,0)</f>
        <v>CO09</v>
      </c>
    </row>
    <row r="64" spans="1:8" x14ac:dyDescent="0.25">
      <c r="A64">
        <v>10</v>
      </c>
      <c r="B64" t="s">
        <v>3</v>
      </c>
      <c r="C64" t="s">
        <v>30</v>
      </c>
      <c r="D64">
        <v>5</v>
      </c>
      <c r="E64" t="str">
        <f>VLOOKUP($C64,Hoja2!$A:$D,2,0)</f>
        <v>F47649</v>
      </c>
      <c r="F64" t="str">
        <f>VLOOKUP($C64,Hoja2!$A:$D,3,0)</f>
        <v>AVENA ALGARRA TRADICIONAL TB 200ML X6</v>
      </c>
      <c r="G64">
        <f>VLOOKUP($C64,Hoja2!$A:$D,4,0)*D64</f>
        <v>6</v>
      </c>
      <c r="H64" t="str">
        <f>VLOOKUP(A64,Hoja2!H:J,3,0)</f>
        <v>CO09</v>
      </c>
    </row>
    <row r="65" spans="1:8" x14ac:dyDescent="0.25">
      <c r="A65">
        <v>10</v>
      </c>
      <c r="B65" t="s">
        <v>3</v>
      </c>
      <c r="C65" t="s">
        <v>31</v>
      </c>
      <c r="D65">
        <v>12</v>
      </c>
      <c r="E65" t="str">
        <f>VLOOKUP($C65,Hoja2!$A:$D,2,0)</f>
        <v>F47427</v>
      </c>
      <c r="F65" t="str">
        <f>VLOOKUP($C65,Hoja2!$A:$D,3,0)</f>
        <v>AVENA ALGARRA TRADICIONAL BS 200ML 7X8</v>
      </c>
      <c r="G65">
        <f>VLOOKUP($C65,Hoja2!$A:$D,4,0)*D65</f>
        <v>19.200000000000003</v>
      </c>
      <c r="H65" t="str">
        <f>VLOOKUP(A65,Hoja2!H:J,3,0)</f>
        <v>CO09</v>
      </c>
    </row>
    <row r="66" spans="1:8" x14ac:dyDescent="0.25">
      <c r="A66">
        <v>10</v>
      </c>
      <c r="B66" t="s">
        <v>3</v>
      </c>
      <c r="C66" t="s">
        <v>32</v>
      </c>
      <c r="D66">
        <v>250</v>
      </c>
      <c r="E66" t="str">
        <f>VLOOKUP($C66,Hoja2!$A:$D,2,0)</f>
        <v>F48025</v>
      </c>
      <c r="F66" t="str">
        <f>VLOOKUP($C66,Hoja2!$A:$D,3,0)</f>
        <v>CML CREMAX UHT BS 900 GR</v>
      </c>
      <c r="G66">
        <f>VLOOKUP($C66,Hoja2!$A:$D,4,0)*D66</f>
        <v>225</v>
      </c>
      <c r="H66" t="str">
        <f>VLOOKUP(A66,Hoja2!H:J,3,0)</f>
        <v>CO09</v>
      </c>
    </row>
    <row r="67" spans="1:8" x14ac:dyDescent="0.25">
      <c r="A67">
        <v>10</v>
      </c>
      <c r="B67" t="s">
        <v>3</v>
      </c>
      <c r="C67" t="s">
        <v>33</v>
      </c>
      <c r="D67">
        <v>200</v>
      </c>
      <c r="E67" t="str">
        <f>VLOOKUP($C67,Hoja2!$A:$D,2,0)</f>
        <v>F48010</v>
      </c>
      <c r="F67" t="str">
        <f>VLOOKUP($C67,Hoja2!$A:$D,3,0)</f>
        <v>CML DE LA FINCA UHT BS 900 GR</v>
      </c>
      <c r="G67">
        <f>VLOOKUP($C67,Hoja2!$A:$D,4,0)*D67</f>
        <v>180</v>
      </c>
      <c r="H67" t="str">
        <f>VLOOKUP(A67,Hoja2!H:J,3,0)</f>
        <v>CO09</v>
      </c>
    </row>
    <row r="68" spans="1:8" x14ac:dyDescent="0.25">
      <c r="A68">
        <v>11</v>
      </c>
      <c r="B68" t="s">
        <v>11</v>
      </c>
      <c r="C68" t="s">
        <v>8</v>
      </c>
      <c r="D68">
        <v>200</v>
      </c>
      <c r="E68" t="str">
        <f>VLOOKUP($C68,Hoja2!$A:$D,2,0)</f>
        <v>F48809</v>
      </c>
      <c r="F68" t="str">
        <f>VLOOKUP($C68,Hoja2!$A:$D,3,0)</f>
        <v>NECTAR CALIFORNIA SURTIDO TB 200ML 7X10</v>
      </c>
      <c r="G68">
        <f>VLOOKUP($C68,Hoja2!$A:$D,4,0)*D68</f>
        <v>400</v>
      </c>
      <c r="H68" t="str">
        <f>VLOOKUP(A68,Hoja2!H:J,3,0)</f>
        <v>CO05</v>
      </c>
    </row>
    <row r="69" spans="1:8" x14ac:dyDescent="0.25">
      <c r="A69">
        <v>11</v>
      </c>
      <c r="B69" t="s">
        <v>11</v>
      </c>
      <c r="C69" t="s">
        <v>16</v>
      </c>
      <c r="D69">
        <v>24</v>
      </c>
      <c r="E69" t="str">
        <f>VLOOKUP($C69,Hoja2!$A:$D,2,0)</f>
        <v>F48669</v>
      </c>
      <c r="F69" t="str">
        <f>VLOOKUP($C69,Hoja2!$A:$D,3,0)</f>
        <v>NECTAR CALIFORNIA DURAZNO TB 900ML</v>
      </c>
      <c r="G69">
        <f>VLOOKUP($C69,Hoja2!$A:$D,4,0)*D69</f>
        <v>21.6</v>
      </c>
      <c r="H69" t="str">
        <f>VLOOKUP(A69,Hoja2!H:J,3,0)</f>
        <v>CO05</v>
      </c>
    </row>
    <row r="70" spans="1:8" x14ac:dyDescent="0.25">
      <c r="A70">
        <v>11</v>
      </c>
      <c r="B70" t="s">
        <v>11</v>
      </c>
      <c r="C70" t="s">
        <v>20</v>
      </c>
      <c r="D70">
        <v>24</v>
      </c>
      <c r="E70" t="str">
        <f>VLOOKUP($C70,Hoja2!$A:$D,2,0)</f>
        <v>F48668</v>
      </c>
      <c r="F70" t="str">
        <f>VLOOKUP($C70,Hoja2!$A:$D,3,0)</f>
        <v>NECTAR CALIFORNIA PERA TB 900ML</v>
      </c>
      <c r="G70">
        <f>VLOOKUP($C70,Hoja2!$A:$D,4,0)*D70</f>
        <v>21.6</v>
      </c>
      <c r="H70" t="str">
        <f>VLOOKUP(A70,Hoja2!H:J,3,0)</f>
        <v>CO05</v>
      </c>
    </row>
    <row r="71" spans="1:8" x14ac:dyDescent="0.25">
      <c r="A71">
        <v>11</v>
      </c>
      <c r="B71" t="s">
        <v>11</v>
      </c>
      <c r="C71" t="s">
        <v>23</v>
      </c>
      <c r="D71">
        <v>24</v>
      </c>
      <c r="E71" t="str">
        <f>VLOOKUP($C71,Hoja2!$A:$D,2,0)</f>
        <v>F48667</v>
      </c>
      <c r="F71" t="str">
        <f>VLOOKUP($C71,Hoja2!$A:$D,3,0)</f>
        <v>NECTAR CALIFORNIA MANZANA TB 900ML</v>
      </c>
      <c r="G71">
        <f>VLOOKUP($C71,Hoja2!$A:$D,4,0)*D71</f>
        <v>21.6</v>
      </c>
      <c r="H71" t="str">
        <f>VLOOKUP(A71,Hoja2!H:J,3,0)</f>
        <v>CO05</v>
      </c>
    </row>
    <row r="72" spans="1:8" x14ac:dyDescent="0.25">
      <c r="A72">
        <v>11</v>
      </c>
      <c r="B72" t="s">
        <v>11</v>
      </c>
      <c r="C72" t="s">
        <v>25</v>
      </c>
      <c r="D72">
        <v>20</v>
      </c>
      <c r="E72" t="str">
        <f>VLOOKUP($C72,Hoja2!$A:$D,2,0)</f>
        <v>F44226</v>
      </c>
      <c r="F72" t="str">
        <f>VLOOKUP($C72,Hoja2!$A:$D,3,0)</f>
        <v>TE CALIFORNIA SURTIDO 200 ML TB X6</v>
      </c>
      <c r="G72">
        <f>VLOOKUP($C72,Hoja2!$A:$D,4,0)*D72</f>
        <v>24</v>
      </c>
      <c r="H72" t="str">
        <f>VLOOKUP(A72,Hoja2!H:J,3,0)</f>
        <v>CO05</v>
      </c>
    </row>
    <row r="73" spans="1:8" x14ac:dyDescent="0.25">
      <c r="A73">
        <v>11</v>
      </c>
      <c r="B73" t="s">
        <v>11</v>
      </c>
      <c r="C73" t="s">
        <v>28</v>
      </c>
      <c r="D73">
        <v>8</v>
      </c>
      <c r="E73" t="str">
        <f>VLOOKUP($C73,Hoja2!$A:$D,2,0)</f>
        <v>F47006</v>
      </c>
      <c r="F73" t="str">
        <f>VLOOKUP($C73,Hoja2!$A:$D,3,0)</f>
        <v>AVENA ALGARRA CANELA TB 200ML X6</v>
      </c>
      <c r="G73">
        <f>VLOOKUP($C73,Hoja2!$A:$D,4,0)*D73</f>
        <v>9.6</v>
      </c>
      <c r="H73" t="str">
        <f>VLOOKUP(A73,Hoja2!H:J,3,0)</f>
        <v>CO05</v>
      </c>
    </row>
    <row r="74" spans="1:8" x14ac:dyDescent="0.25">
      <c r="A74">
        <v>11</v>
      </c>
      <c r="B74" t="s">
        <v>11</v>
      </c>
      <c r="C74" t="s">
        <v>30</v>
      </c>
      <c r="D74">
        <v>10</v>
      </c>
      <c r="E74" t="str">
        <f>VLOOKUP($C74,Hoja2!$A:$D,2,0)</f>
        <v>F47649</v>
      </c>
      <c r="F74" t="str">
        <f>VLOOKUP($C74,Hoja2!$A:$D,3,0)</f>
        <v>AVENA ALGARRA TRADICIONAL TB 200ML X6</v>
      </c>
      <c r="G74">
        <f>VLOOKUP($C74,Hoja2!$A:$D,4,0)*D74</f>
        <v>12</v>
      </c>
      <c r="H74" t="str">
        <f>VLOOKUP(A74,Hoja2!H:J,3,0)</f>
        <v>CO05</v>
      </c>
    </row>
    <row r="75" spans="1:8" x14ac:dyDescent="0.25">
      <c r="A75">
        <v>11</v>
      </c>
      <c r="B75" t="s">
        <v>11</v>
      </c>
      <c r="C75" t="s">
        <v>32</v>
      </c>
      <c r="D75">
        <v>100</v>
      </c>
      <c r="E75" t="str">
        <f>VLOOKUP($C75,Hoja2!$A:$D,2,0)</f>
        <v>F48025</v>
      </c>
      <c r="F75" t="str">
        <f>VLOOKUP($C75,Hoja2!$A:$D,3,0)</f>
        <v>CML CREMAX UHT BS 900 GR</v>
      </c>
      <c r="G75">
        <f>VLOOKUP($C75,Hoja2!$A:$D,4,0)*D75</f>
        <v>90</v>
      </c>
      <c r="H75" t="str">
        <f>VLOOKUP(A75,Hoja2!H:J,3,0)</f>
        <v>CO05</v>
      </c>
    </row>
    <row r="76" spans="1:8" x14ac:dyDescent="0.25">
      <c r="A76">
        <v>11</v>
      </c>
      <c r="B76" t="s">
        <v>11</v>
      </c>
      <c r="C76" t="s">
        <v>33</v>
      </c>
      <c r="D76">
        <v>50</v>
      </c>
      <c r="E76" t="str">
        <f>VLOOKUP($C76,Hoja2!$A:$D,2,0)</f>
        <v>F48010</v>
      </c>
      <c r="F76" t="str">
        <f>VLOOKUP($C76,Hoja2!$A:$D,3,0)</f>
        <v>CML DE LA FINCA UHT BS 900 GR</v>
      </c>
      <c r="G76">
        <f>VLOOKUP($C76,Hoja2!$A:$D,4,0)*D76</f>
        <v>45</v>
      </c>
      <c r="H76" t="str">
        <f>VLOOKUP(A76,Hoja2!H:J,3,0)</f>
        <v>CO05</v>
      </c>
    </row>
    <row r="77" spans="1:8" x14ac:dyDescent="0.25">
      <c r="A77">
        <v>12</v>
      </c>
      <c r="B77" t="s">
        <v>35</v>
      </c>
      <c r="C77" t="s">
        <v>29</v>
      </c>
      <c r="D77">
        <v>24</v>
      </c>
      <c r="E77" t="str">
        <f>VLOOKUP($C77,Hoja2!$A:$D,2,0)</f>
        <v>F47013</v>
      </c>
      <c r="F77" t="str">
        <f>VLOOKUP($C77,Hoja2!$A:$D,3,0)</f>
        <v>AVENA ALGARRA CANELA BS 200ML 7X8</v>
      </c>
      <c r="G77">
        <f>VLOOKUP($C77,Hoja2!$A:$D,4,0)*D77</f>
        <v>38.400000000000006</v>
      </c>
      <c r="H77" t="str">
        <f>VLOOKUP(A77,Hoja2!H:J,3,0)</f>
        <v>CO04</v>
      </c>
    </row>
    <row r="78" spans="1:8" x14ac:dyDescent="0.25">
      <c r="A78">
        <v>13</v>
      </c>
      <c r="B78" t="s">
        <v>36</v>
      </c>
      <c r="C78" t="s">
        <v>28</v>
      </c>
      <c r="D78">
        <v>8</v>
      </c>
      <c r="E78" t="str">
        <f>VLOOKUP($C78,Hoja2!$A:$D,2,0)</f>
        <v>F47006</v>
      </c>
      <c r="F78" t="str">
        <f>VLOOKUP($C78,Hoja2!$A:$D,3,0)</f>
        <v>AVENA ALGARRA CANELA TB 200ML X6</v>
      </c>
      <c r="G78">
        <f>VLOOKUP($C78,Hoja2!$A:$D,4,0)*D78</f>
        <v>9.6</v>
      </c>
      <c r="H78" t="str">
        <f>VLOOKUP(A78,Hoja2!H:J,3,0)</f>
        <v>CO15</v>
      </c>
    </row>
    <row r="79" spans="1:8" x14ac:dyDescent="0.25">
      <c r="A79">
        <v>13</v>
      </c>
      <c r="B79" t="s">
        <v>36</v>
      </c>
      <c r="C79" t="s">
        <v>29</v>
      </c>
      <c r="D79">
        <v>12</v>
      </c>
      <c r="E79" t="str">
        <f>VLOOKUP($C79,Hoja2!$A:$D,2,0)</f>
        <v>F47013</v>
      </c>
      <c r="F79" t="str">
        <f>VLOOKUP($C79,Hoja2!$A:$D,3,0)</f>
        <v>AVENA ALGARRA CANELA BS 200ML 7X8</v>
      </c>
      <c r="G79">
        <f>VLOOKUP($C79,Hoja2!$A:$D,4,0)*D79</f>
        <v>19.200000000000003</v>
      </c>
      <c r="H79" t="str">
        <f>VLOOKUP(A79,Hoja2!H:J,3,0)</f>
        <v>CO15</v>
      </c>
    </row>
    <row r="80" spans="1:8" x14ac:dyDescent="0.25">
      <c r="A80">
        <v>13</v>
      </c>
      <c r="B80" t="s">
        <v>36</v>
      </c>
      <c r="C80" t="s">
        <v>31</v>
      </c>
      <c r="D80">
        <v>60</v>
      </c>
      <c r="E80" t="str">
        <f>VLOOKUP($C80,Hoja2!$A:$D,2,0)</f>
        <v>F47427</v>
      </c>
      <c r="F80" t="str">
        <f>VLOOKUP($C80,Hoja2!$A:$D,3,0)</f>
        <v>AVENA ALGARRA TRADICIONAL BS 200ML 7X8</v>
      </c>
      <c r="G80">
        <f>VLOOKUP($C80,Hoja2!$A:$D,4,0)*D80</f>
        <v>96</v>
      </c>
      <c r="H80" t="str">
        <f>VLOOKUP(A80,Hoja2!H:J,3,0)</f>
        <v>CO15</v>
      </c>
    </row>
    <row r="81" spans="1:8" x14ac:dyDescent="0.25">
      <c r="A81">
        <v>13</v>
      </c>
      <c r="B81" t="s">
        <v>36</v>
      </c>
      <c r="C81" t="s">
        <v>33</v>
      </c>
      <c r="D81">
        <v>400</v>
      </c>
      <c r="E81" t="str">
        <f>VLOOKUP($C81,Hoja2!$A:$D,2,0)</f>
        <v>F48010</v>
      </c>
      <c r="F81" t="str">
        <f>VLOOKUP($C81,Hoja2!$A:$D,3,0)</f>
        <v>CML DE LA FINCA UHT BS 900 GR</v>
      </c>
      <c r="G81">
        <f>VLOOKUP($C81,Hoja2!$A:$D,4,0)*D81</f>
        <v>360</v>
      </c>
      <c r="H81" t="str">
        <f>VLOOKUP(A81,Hoja2!H:J,3,0)</f>
        <v>CO15</v>
      </c>
    </row>
    <row r="82" spans="1:8" x14ac:dyDescent="0.25">
      <c r="A82">
        <v>14</v>
      </c>
      <c r="B82" t="s">
        <v>14</v>
      </c>
      <c r="C82" t="s">
        <v>15</v>
      </c>
      <c r="D82">
        <v>24</v>
      </c>
      <c r="E82" t="str">
        <f>VLOOKUP($C82,Hoja2!$A:$D,2,0)</f>
        <v>F48614</v>
      </c>
      <c r="F82" t="str">
        <f>VLOOKUP($C82,Hoja2!$A:$D,3,0)</f>
        <v>NECTAR MANZANA BOT 900 ML</v>
      </c>
      <c r="G82">
        <f>VLOOKUP($C82,Hoja2!$A:$D,4,0)*D82</f>
        <v>21.6</v>
      </c>
      <c r="H82" t="str">
        <f>VLOOKUP(A82,Hoja2!H:J,3,0)</f>
        <v>CO08</v>
      </c>
    </row>
    <row r="83" spans="1:8" x14ac:dyDescent="0.25">
      <c r="A83">
        <v>14</v>
      </c>
      <c r="B83" t="s">
        <v>14</v>
      </c>
      <c r="C83" t="s">
        <v>16</v>
      </c>
      <c r="D83">
        <v>24</v>
      </c>
      <c r="E83" t="str">
        <f>VLOOKUP($C83,Hoja2!$A:$D,2,0)</f>
        <v>F48669</v>
      </c>
      <c r="F83" t="str">
        <f>VLOOKUP($C83,Hoja2!$A:$D,3,0)</f>
        <v>NECTAR CALIFORNIA DURAZNO TB 900ML</v>
      </c>
      <c r="G83">
        <f>VLOOKUP($C83,Hoja2!$A:$D,4,0)*D83</f>
        <v>21.6</v>
      </c>
      <c r="H83" t="str">
        <f>VLOOKUP(A83,Hoja2!H:J,3,0)</f>
        <v>CO08</v>
      </c>
    </row>
    <row r="84" spans="1:8" x14ac:dyDescent="0.25">
      <c r="A84">
        <v>14</v>
      </c>
      <c r="B84" t="s">
        <v>14</v>
      </c>
      <c r="C84" t="s">
        <v>20</v>
      </c>
      <c r="D84">
        <v>24</v>
      </c>
      <c r="E84" t="str">
        <f>VLOOKUP($C84,Hoja2!$A:$D,2,0)</f>
        <v>F48668</v>
      </c>
      <c r="F84" t="str">
        <f>VLOOKUP($C84,Hoja2!$A:$D,3,0)</f>
        <v>NECTAR CALIFORNIA PERA TB 900ML</v>
      </c>
      <c r="G84">
        <f>VLOOKUP($C84,Hoja2!$A:$D,4,0)*D84</f>
        <v>21.6</v>
      </c>
      <c r="H84" t="str">
        <f>VLOOKUP(A84,Hoja2!H:J,3,0)</f>
        <v>CO08</v>
      </c>
    </row>
    <row r="85" spans="1:8" x14ac:dyDescent="0.25">
      <c r="A85">
        <v>14</v>
      </c>
      <c r="B85" t="s">
        <v>14</v>
      </c>
      <c r="C85" t="s">
        <v>23</v>
      </c>
      <c r="D85">
        <v>24</v>
      </c>
      <c r="E85" t="str">
        <f>VLOOKUP($C85,Hoja2!$A:$D,2,0)</f>
        <v>F48667</v>
      </c>
      <c r="F85" t="str">
        <f>VLOOKUP($C85,Hoja2!$A:$D,3,0)</f>
        <v>NECTAR CALIFORNIA MANZANA TB 900ML</v>
      </c>
      <c r="G85">
        <f>VLOOKUP($C85,Hoja2!$A:$D,4,0)*D85</f>
        <v>21.6</v>
      </c>
      <c r="H85" t="str">
        <f>VLOOKUP(A85,Hoja2!H:J,3,0)</f>
        <v>CO08</v>
      </c>
    </row>
    <row r="86" spans="1:8" x14ac:dyDescent="0.25">
      <c r="A86">
        <v>14</v>
      </c>
      <c r="B86" t="s">
        <v>14</v>
      </c>
      <c r="C86" t="s">
        <v>25</v>
      </c>
      <c r="D86">
        <v>60</v>
      </c>
      <c r="E86" t="str">
        <f>VLOOKUP($C86,Hoja2!$A:$D,2,0)</f>
        <v>F44226</v>
      </c>
      <c r="F86" t="str">
        <f>VLOOKUP($C86,Hoja2!$A:$D,3,0)</f>
        <v>TE CALIFORNIA SURTIDO 200 ML TB X6</v>
      </c>
      <c r="G86">
        <f>VLOOKUP($C86,Hoja2!$A:$D,4,0)*D86</f>
        <v>72</v>
      </c>
      <c r="H86" t="str">
        <f>VLOOKUP(A86,Hoja2!H:J,3,0)</f>
        <v>CO08</v>
      </c>
    </row>
    <row r="87" spans="1:8" x14ac:dyDescent="0.25">
      <c r="A87">
        <v>14</v>
      </c>
      <c r="B87" t="s">
        <v>14</v>
      </c>
      <c r="C87" t="s">
        <v>28</v>
      </c>
      <c r="D87">
        <v>8</v>
      </c>
      <c r="E87" t="str">
        <f>VLOOKUP($C87,Hoja2!$A:$D,2,0)</f>
        <v>F47006</v>
      </c>
      <c r="F87" t="str">
        <f>VLOOKUP($C87,Hoja2!$A:$D,3,0)</f>
        <v>AVENA ALGARRA CANELA TB 200ML X6</v>
      </c>
      <c r="G87">
        <f>VLOOKUP($C87,Hoja2!$A:$D,4,0)*D87</f>
        <v>9.6</v>
      </c>
      <c r="H87" t="str">
        <f>VLOOKUP(A87,Hoja2!H:J,3,0)</f>
        <v>CO08</v>
      </c>
    </row>
    <row r="88" spans="1:8" x14ac:dyDescent="0.25">
      <c r="A88">
        <v>14</v>
      </c>
      <c r="B88" t="s">
        <v>14</v>
      </c>
      <c r="C88" t="s">
        <v>29</v>
      </c>
      <c r="D88">
        <v>12</v>
      </c>
      <c r="E88" t="str">
        <f>VLOOKUP($C88,Hoja2!$A:$D,2,0)</f>
        <v>F47013</v>
      </c>
      <c r="F88" t="str">
        <f>VLOOKUP($C88,Hoja2!$A:$D,3,0)</f>
        <v>AVENA ALGARRA CANELA BS 200ML 7X8</v>
      </c>
      <c r="G88">
        <f>VLOOKUP($C88,Hoja2!$A:$D,4,0)*D88</f>
        <v>19.200000000000003</v>
      </c>
      <c r="H88" t="str">
        <f>VLOOKUP(A88,Hoja2!H:J,3,0)</f>
        <v>CO08</v>
      </c>
    </row>
    <row r="89" spans="1:8" x14ac:dyDescent="0.25">
      <c r="A89">
        <v>14</v>
      </c>
      <c r="B89" t="s">
        <v>14</v>
      </c>
      <c r="C89" t="s">
        <v>30</v>
      </c>
      <c r="D89">
        <v>10</v>
      </c>
      <c r="E89" t="str">
        <f>VLOOKUP($C89,Hoja2!$A:$D,2,0)</f>
        <v>F47649</v>
      </c>
      <c r="F89" t="str">
        <f>VLOOKUP($C89,Hoja2!$A:$D,3,0)</f>
        <v>AVENA ALGARRA TRADICIONAL TB 200ML X6</v>
      </c>
      <c r="G89">
        <f>VLOOKUP($C89,Hoja2!$A:$D,4,0)*D89</f>
        <v>12</v>
      </c>
      <c r="H89" t="str">
        <f>VLOOKUP(A89,Hoja2!H:J,3,0)</f>
        <v>CO08</v>
      </c>
    </row>
    <row r="90" spans="1:8" x14ac:dyDescent="0.25">
      <c r="A90">
        <v>14</v>
      </c>
      <c r="B90" t="s">
        <v>14</v>
      </c>
      <c r="C90" t="s">
        <v>33</v>
      </c>
      <c r="D90">
        <v>100</v>
      </c>
      <c r="E90" t="str">
        <f>VLOOKUP($C90,Hoja2!$A:$D,2,0)</f>
        <v>F48010</v>
      </c>
      <c r="F90" t="str">
        <f>VLOOKUP($C90,Hoja2!$A:$D,3,0)</f>
        <v>CML DE LA FINCA UHT BS 900 GR</v>
      </c>
      <c r="G90">
        <f>VLOOKUP($C90,Hoja2!$A:$D,4,0)*D90</f>
        <v>90</v>
      </c>
      <c r="H90" t="str">
        <f>VLOOKUP(A90,Hoja2!H:J,3,0)</f>
        <v>CO08</v>
      </c>
    </row>
    <row r="91" spans="1:8" x14ac:dyDescent="0.25">
      <c r="A91">
        <v>15</v>
      </c>
      <c r="B91" t="s">
        <v>37</v>
      </c>
      <c r="C91" t="s">
        <v>28</v>
      </c>
      <c r="D91">
        <v>10</v>
      </c>
      <c r="E91" t="str">
        <f>VLOOKUP($C91,Hoja2!$A:$D,2,0)</f>
        <v>F47006</v>
      </c>
      <c r="F91" t="str">
        <f>VLOOKUP($C91,Hoja2!$A:$D,3,0)</f>
        <v>AVENA ALGARRA CANELA TB 200ML X6</v>
      </c>
      <c r="G91">
        <f>VLOOKUP($C91,Hoja2!$A:$D,4,0)*D91</f>
        <v>12</v>
      </c>
      <c r="H91" t="str">
        <f>VLOOKUP(A91,Hoja2!H:J,3,0)</f>
        <v>CO13</v>
      </c>
    </row>
    <row r="92" spans="1:8" x14ac:dyDescent="0.25">
      <c r="A92">
        <v>15</v>
      </c>
      <c r="B92" t="s">
        <v>37</v>
      </c>
      <c r="C92" t="s">
        <v>30</v>
      </c>
      <c r="D92">
        <v>10</v>
      </c>
      <c r="E92" t="str">
        <f>VLOOKUP($C92,Hoja2!$A:$D,2,0)</f>
        <v>F47649</v>
      </c>
      <c r="F92" t="str">
        <f>VLOOKUP($C92,Hoja2!$A:$D,3,0)</f>
        <v>AVENA ALGARRA TRADICIONAL TB 200ML X6</v>
      </c>
      <c r="G92">
        <f>VLOOKUP($C92,Hoja2!$A:$D,4,0)*D92</f>
        <v>12</v>
      </c>
      <c r="H92" t="str">
        <f>VLOOKUP(A92,Hoja2!H:J,3,0)</f>
        <v>CO13</v>
      </c>
    </row>
    <row r="93" spans="1:8" x14ac:dyDescent="0.25">
      <c r="A93">
        <v>16</v>
      </c>
      <c r="B93" t="s">
        <v>12</v>
      </c>
      <c r="C93" t="s">
        <v>8</v>
      </c>
      <c r="D93">
        <v>200</v>
      </c>
      <c r="E93" t="str">
        <f>VLOOKUP($C93,Hoja2!$A:$D,2,0)</f>
        <v>F48809</v>
      </c>
      <c r="F93" t="str">
        <f>VLOOKUP($C93,Hoja2!$A:$D,3,0)</f>
        <v>NECTAR CALIFORNIA SURTIDO TB 200ML 7X10</v>
      </c>
      <c r="G93">
        <f>VLOOKUP($C93,Hoja2!$A:$D,4,0)*D93</f>
        <v>400</v>
      </c>
      <c r="H93" t="str">
        <f>VLOOKUP(A93,Hoja2!H:J,3,0)</f>
        <v>CO06</v>
      </c>
    </row>
    <row r="94" spans="1:8" x14ac:dyDescent="0.25">
      <c r="A94">
        <v>16</v>
      </c>
      <c r="B94" t="s">
        <v>12</v>
      </c>
      <c r="C94" t="s">
        <v>15</v>
      </c>
      <c r="D94">
        <v>24</v>
      </c>
      <c r="E94" t="str">
        <f>VLOOKUP($C94,Hoja2!$A:$D,2,0)</f>
        <v>F48614</v>
      </c>
      <c r="F94" t="str">
        <f>VLOOKUP($C94,Hoja2!$A:$D,3,0)</f>
        <v>NECTAR MANZANA BOT 900 ML</v>
      </c>
      <c r="G94">
        <f>VLOOKUP($C94,Hoja2!$A:$D,4,0)*D94</f>
        <v>21.6</v>
      </c>
      <c r="H94" t="str">
        <f>VLOOKUP(A94,Hoja2!H:J,3,0)</f>
        <v>CO06</v>
      </c>
    </row>
    <row r="95" spans="1:8" x14ac:dyDescent="0.25">
      <c r="A95">
        <v>16</v>
      </c>
      <c r="B95" t="s">
        <v>12</v>
      </c>
      <c r="C95" t="s">
        <v>16</v>
      </c>
      <c r="D95">
        <v>24</v>
      </c>
      <c r="E95" t="str">
        <f>VLOOKUP($C95,Hoja2!$A:$D,2,0)</f>
        <v>F48669</v>
      </c>
      <c r="F95" t="str">
        <f>VLOOKUP($C95,Hoja2!$A:$D,3,0)</f>
        <v>NECTAR CALIFORNIA DURAZNO TB 900ML</v>
      </c>
      <c r="G95">
        <f>VLOOKUP($C95,Hoja2!$A:$D,4,0)*D95</f>
        <v>21.6</v>
      </c>
      <c r="H95" t="str">
        <f>VLOOKUP(A95,Hoja2!H:J,3,0)</f>
        <v>CO06</v>
      </c>
    </row>
    <row r="96" spans="1:8" x14ac:dyDescent="0.25">
      <c r="A96">
        <v>16</v>
      </c>
      <c r="B96" t="s">
        <v>12</v>
      </c>
      <c r="C96" t="s">
        <v>25</v>
      </c>
      <c r="D96">
        <v>60</v>
      </c>
      <c r="E96" t="str">
        <f>VLOOKUP($C96,Hoja2!$A:$D,2,0)</f>
        <v>F44226</v>
      </c>
      <c r="F96" t="str">
        <f>VLOOKUP($C96,Hoja2!$A:$D,3,0)</f>
        <v>TE CALIFORNIA SURTIDO 200 ML TB X6</v>
      </c>
      <c r="G96">
        <f>VLOOKUP($C96,Hoja2!$A:$D,4,0)*D96</f>
        <v>72</v>
      </c>
      <c r="H96" t="str">
        <f>VLOOKUP(A96,Hoja2!H:J,3,0)</f>
        <v>CO06</v>
      </c>
    </row>
    <row r="97" spans="1:8" x14ac:dyDescent="0.25">
      <c r="A97">
        <v>16</v>
      </c>
      <c r="B97" t="s">
        <v>12</v>
      </c>
      <c r="C97" t="s">
        <v>28</v>
      </c>
      <c r="D97">
        <v>8</v>
      </c>
      <c r="E97" t="str">
        <f>VLOOKUP($C97,Hoja2!$A:$D,2,0)</f>
        <v>F47006</v>
      </c>
      <c r="F97" t="str">
        <f>VLOOKUP($C97,Hoja2!$A:$D,3,0)</f>
        <v>AVENA ALGARRA CANELA TB 200ML X6</v>
      </c>
      <c r="G97">
        <f>VLOOKUP($C97,Hoja2!$A:$D,4,0)*D97</f>
        <v>9.6</v>
      </c>
      <c r="H97" t="str">
        <f>VLOOKUP(A97,Hoja2!H:J,3,0)</f>
        <v>CO06</v>
      </c>
    </row>
    <row r="98" spans="1:8" x14ac:dyDescent="0.25">
      <c r="A98">
        <v>17</v>
      </c>
      <c r="B98" t="s">
        <v>27</v>
      </c>
      <c r="C98" t="s">
        <v>25</v>
      </c>
      <c r="D98">
        <v>20</v>
      </c>
      <c r="E98" t="str">
        <f>VLOOKUP($C98,Hoja2!$A:$D,2,0)</f>
        <v>F44226</v>
      </c>
      <c r="F98" t="str">
        <f>VLOOKUP($C98,Hoja2!$A:$D,3,0)</f>
        <v>TE CALIFORNIA SURTIDO 200 ML TB X6</v>
      </c>
      <c r="G98">
        <f>VLOOKUP($C98,Hoja2!$A:$D,4,0)*D98</f>
        <v>24</v>
      </c>
      <c r="H98" t="str">
        <f>VLOOKUP(A98,Hoja2!H:J,3,0)</f>
        <v>CO03</v>
      </c>
    </row>
    <row r="99" spans="1:8" x14ac:dyDescent="0.25">
      <c r="A99">
        <v>17</v>
      </c>
      <c r="B99" t="s">
        <v>27</v>
      </c>
      <c r="C99" t="s">
        <v>29</v>
      </c>
      <c r="D99">
        <v>24</v>
      </c>
      <c r="E99" t="str">
        <f>VLOOKUP($C99,Hoja2!$A:$D,2,0)</f>
        <v>F47013</v>
      </c>
      <c r="F99" t="str">
        <f>VLOOKUP($C99,Hoja2!$A:$D,3,0)</f>
        <v>AVENA ALGARRA CANELA BS 200ML 7X8</v>
      </c>
      <c r="G99">
        <f>VLOOKUP($C99,Hoja2!$A:$D,4,0)*D99</f>
        <v>38.400000000000006</v>
      </c>
      <c r="H99" t="str">
        <f>VLOOKUP(A99,Hoja2!H:J,3,0)</f>
        <v>CO03</v>
      </c>
    </row>
    <row r="100" spans="1:8" x14ac:dyDescent="0.25">
      <c r="A100">
        <v>17</v>
      </c>
      <c r="B100" t="s">
        <v>27</v>
      </c>
      <c r="C100" t="s">
        <v>28</v>
      </c>
      <c r="D100">
        <v>10</v>
      </c>
      <c r="E100" t="str">
        <f>VLOOKUP($C100,Hoja2!$A:$D,2,0)</f>
        <v>F47006</v>
      </c>
      <c r="F100" t="str">
        <f>VLOOKUP($C100,Hoja2!$A:$D,3,0)</f>
        <v>AVENA ALGARRA CANELA TB 200ML X6</v>
      </c>
      <c r="G100">
        <f>VLOOKUP($C100,Hoja2!$A:$D,4,0)*D100</f>
        <v>12</v>
      </c>
      <c r="H100" t="str">
        <f>VLOOKUP(A100,Hoja2!H:J,3,0)</f>
        <v>CO03</v>
      </c>
    </row>
    <row r="101" spans="1:8" x14ac:dyDescent="0.25">
      <c r="A101">
        <v>17</v>
      </c>
      <c r="B101" t="s">
        <v>27</v>
      </c>
      <c r="C101" t="s">
        <v>30</v>
      </c>
      <c r="D101">
        <v>10</v>
      </c>
      <c r="E101" t="str">
        <f>VLOOKUP($C101,Hoja2!$A:$D,2,0)</f>
        <v>F47649</v>
      </c>
      <c r="F101" t="str">
        <f>VLOOKUP($C101,Hoja2!$A:$D,3,0)</f>
        <v>AVENA ALGARRA TRADICIONAL TB 200ML X6</v>
      </c>
      <c r="G101">
        <f>VLOOKUP($C101,Hoja2!$A:$D,4,0)*D101</f>
        <v>12</v>
      </c>
      <c r="H101" t="str">
        <f>VLOOKUP(A101,Hoja2!H:J,3,0)</f>
        <v>CO03</v>
      </c>
    </row>
    <row r="102" spans="1:8" x14ac:dyDescent="0.25">
      <c r="A102">
        <v>17</v>
      </c>
      <c r="B102" t="s">
        <v>27</v>
      </c>
      <c r="C102" t="s">
        <v>32</v>
      </c>
      <c r="D102">
        <v>100</v>
      </c>
      <c r="E102" t="str">
        <f>VLOOKUP($C102,Hoja2!$A:$D,2,0)</f>
        <v>F48025</v>
      </c>
      <c r="F102" t="str">
        <f>VLOOKUP($C102,Hoja2!$A:$D,3,0)</f>
        <v>CML CREMAX UHT BS 900 GR</v>
      </c>
      <c r="G102">
        <f>VLOOKUP($C102,Hoja2!$A:$D,4,0)*D102</f>
        <v>90</v>
      </c>
      <c r="H102" t="str">
        <f>VLOOKUP(A102,Hoja2!H:J,3,0)</f>
        <v>CO03</v>
      </c>
    </row>
    <row r="103" spans="1:8" x14ac:dyDescent="0.25">
      <c r="A103">
        <v>17</v>
      </c>
      <c r="B103" t="s">
        <v>27</v>
      </c>
      <c r="C103" t="s">
        <v>33</v>
      </c>
      <c r="D103">
        <v>50</v>
      </c>
      <c r="E103" t="str">
        <f>VLOOKUP($C103,Hoja2!$A:$D,2,0)</f>
        <v>F48010</v>
      </c>
      <c r="F103" t="str">
        <f>VLOOKUP($C103,Hoja2!$A:$D,3,0)</f>
        <v>CML DE LA FINCA UHT BS 900 GR</v>
      </c>
      <c r="G103">
        <f>VLOOKUP($C103,Hoja2!$A:$D,4,0)*D103</f>
        <v>45</v>
      </c>
      <c r="H103" t="str">
        <f>VLOOKUP(A103,Hoja2!H:J,3,0)</f>
        <v>CO03</v>
      </c>
    </row>
    <row r="104" spans="1:8" x14ac:dyDescent="0.25">
      <c r="A104">
        <v>18</v>
      </c>
      <c r="B104" t="s">
        <v>5</v>
      </c>
      <c r="C104" t="s">
        <v>4</v>
      </c>
      <c r="D104">
        <v>24</v>
      </c>
      <c r="E104" t="str">
        <f>VLOOKUP($C104,Hoja2!$A:$D,2,0)</f>
        <v>F48739</v>
      </c>
      <c r="F104" t="str">
        <f>VLOOKUP($C104,Hoja2!$A:$D,3,0)</f>
        <v>NECTAR CALIFORNIA SURT. PET X6 300 ML</v>
      </c>
      <c r="G104">
        <f>VLOOKUP($C104,Hoja2!$A:$D,4,0)*D104</f>
        <v>43.2</v>
      </c>
      <c r="H104" t="str">
        <f>VLOOKUP(A104,Hoja2!H:J,3,0)</f>
        <v>CO11</v>
      </c>
    </row>
    <row r="105" spans="1:8" x14ac:dyDescent="0.25">
      <c r="A105">
        <v>18</v>
      </c>
      <c r="B105" t="s">
        <v>5</v>
      </c>
      <c r="C105" t="s">
        <v>8</v>
      </c>
      <c r="D105">
        <v>150</v>
      </c>
      <c r="E105" t="str">
        <f>VLOOKUP($C105,Hoja2!$A:$D,2,0)</f>
        <v>F48809</v>
      </c>
      <c r="F105" t="str">
        <f>VLOOKUP($C105,Hoja2!$A:$D,3,0)</f>
        <v>NECTAR CALIFORNIA SURTIDO TB 200ML 7X10</v>
      </c>
      <c r="G105">
        <f>VLOOKUP($C105,Hoja2!$A:$D,4,0)*D105</f>
        <v>300</v>
      </c>
      <c r="H105" t="str">
        <f>VLOOKUP(A105,Hoja2!H:J,3,0)</f>
        <v>CO11</v>
      </c>
    </row>
    <row r="106" spans="1:8" x14ac:dyDescent="0.25">
      <c r="A106">
        <v>18</v>
      </c>
      <c r="B106" t="s">
        <v>5</v>
      </c>
      <c r="C106" t="s">
        <v>15</v>
      </c>
      <c r="D106">
        <v>24</v>
      </c>
      <c r="E106" t="str">
        <f>VLOOKUP($C106,Hoja2!$A:$D,2,0)</f>
        <v>F48614</v>
      </c>
      <c r="F106" t="str">
        <f>VLOOKUP($C106,Hoja2!$A:$D,3,0)</f>
        <v>NECTAR MANZANA BOT 900 ML</v>
      </c>
      <c r="G106">
        <f>VLOOKUP($C106,Hoja2!$A:$D,4,0)*D106</f>
        <v>21.6</v>
      </c>
      <c r="H106" t="str">
        <f>VLOOKUP(A106,Hoja2!H:J,3,0)</f>
        <v>CO11</v>
      </c>
    </row>
    <row r="107" spans="1:8" x14ac:dyDescent="0.25">
      <c r="A107">
        <v>18</v>
      </c>
      <c r="B107" t="s">
        <v>5</v>
      </c>
      <c r="C107" t="s">
        <v>19</v>
      </c>
      <c r="D107">
        <v>20</v>
      </c>
      <c r="E107" t="str">
        <f>VLOOKUP($C107,Hoja2!$A:$D,2,0)</f>
        <v>F48670</v>
      </c>
      <c r="F107" t="str">
        <f>VLOOKUP($C107,Hoja2!$A:$D,3,0)</f>
        <v>NECTAR CALIFORNIA SURT TB 900ML X3</v>
      </c>
      <c r="G107">
        <f>VLOOKUP($C107,Hoja2!$A:$D,4,0)*D107</f>
        <v>54</v>
      </c>
      <c r="H107" t="str">
        <f>VLOOKUP(A107,Hoja2!H:J,3,0)</f>
        <v>CO11</v>
      </c>
    </row>
    <row r="108" spans="1:8" x14ac:dyDescent="0.25">
      <c r="A108">
        <v>18</v>
      </c>
      <c r="B108" t="s">
        <v>5</v>
      </c>
      <c r="C108" t="s">
        <v>24</v>
      </c>
      <c r="D108">
        <v>300</v>
      </c>
      <c r="E108" t="str">
        <f>VLOOKUP($C108,Hoja2!$A:$D,2,0)</f>
        <v>F44225</v>
      </c>
      <c r="F108" t="str">
        <f>VLOOKUP($C108,Hoja2!$A:$D,3,0)</f>
        <v>FRESKY CALIFORNIA SUR PUN TB 200ML 10X12</v>
      </c>
      <c r="G108">
        <f>VLOOKUP($C108,Hoja2!$A:$D,4,0)*D108</f>
        <v>720</v>
      </c>
      <c r="H108" t="str">
        <f>VLOOKUP(A108,Hoja2!H:J,3,0)</f>
        <v>CO11</v>
      </c>
    </row>
    <row r="109" spans="1:8" x14ac:dyDescent="0.25">
      <c r="A109">
        <v>18</v>
      </c>
      <c r="B109" t="s">
        <v>5</v>
      </c>
      <c r="C109" t="s">
        <v>28</v>
      </c>
      <c r="D109">
        <v>10</v>
      </c>
      <c r="E109" t="str">
        <f>VLOOKUP($C109,Hoja2!$A:$D,2,0)</f>
        <v>F47006</v>
      </c>
      <c r="F109" t="str">
        <f>VLOOKUP($C109,Hoja2!$A:$D,3,0)</f>
        <v>AVENA ALGARRA CANELA TB 200ML X6</v>
      </c>
      <c r="G109">
        <f>VLOOKUP($C109,Hoja2!$A:$D,4,0)*D109</f>
        <v>12</v>
      </c>
      <c r="H109" t="str">
        <f>VLOOKUP(A109,Hoja2!H:J,3,0)</f>
        <v>CO11</v>
      </c>
    </row>
    <row r="110" spans="1:8" x14ac:dyDescent="0.25">
      <c r="A110">
        <v>18</v>
      </c>
      <c r="B110" t="s">
        <v>5</v>
      </c>
      <c r="C110" t="s">
        <v>31</v>
      </c>
      <c r="D110">
        <v>10</v>
      </c>
      <c r="E110" t="str">
        <f>VLOOKUP($C110,Hoja2!$A:$D,2,0)</f>
        <v>F47427</v>
      </c>
      <c r="F110" t="str">
        <f>VLOOKUP($C110,Hoja2!$A:$D,3,0)</f>
        <v>AVENA ALGARRA TRADICIONAL BS 200ML 7X8</v>
      </c>
      <c r="G110">
        <f>VLOOKUP($C110,Hoja2!$A:$D,4,0)*D110</f>
        <v>16</v>
      </c>
      <c r="H110" t="str">
        <f>VLOOKUP(A110,Hoja2!H:J,3,0)</f>
        <v>CO11</v>
      </c>
    </row>
    <row r="111" spans="1:8" x14ac:dyDescent="0.25">
      <c r="A111">
        <v>18</v>
      </c>
      <c r="B111" t="s">
        <v>5</v>
      </c>
      <c r="C111" t="s">
        <v>32</v>
      </c>
      <c r="D111">
        <v>100</v>
      </c>
      <c r="E111" t="str">
        <f>VLOOKUP($C111,Hoja2!$A:$D,2,0)</f>
        <v>F48025</v>
      </c>
      <c r="F111" t="str">
        <f>VLOOKUP($C111,Hoja2!$A:$D,3,0)</f>
        <v>CML CREMAX UHT BS 900 GR</v>
      </c>
      <c r="G111">
        <f>VLOOKUP($C111,Hoja2!$A:$D,4,0)*D111</f>
        <v>90</v>
      </c>
      <c r="H111" t="str">
        <f>VLOOKUP(A111,Hoja2!H:J,3,0)</f>
        <v>CO11</v>
      </c>
    </row>
    <row r="112" spans="1:8" x14ac:dyDescent="0.25">
      <c r="A112">
        <v>18</v>
      </c>
      <c r="B112" t="s">
        <v>5</v>
      </c>
      <c r="C112" t="s">
        <v>33</v>
      </c>
      <c r="D112">
        <v>200</v>
      </c>
      <c r="E112" t="str">
        <f>VLOOKUP($C112,Hoja2!$A:$D,2,0)</f>
        <v>F48010</v>
      </c>
      <c r="F112" t="str">
        <f>VLOOKUP($C112,Hoja2!$A:$D,3,0)</f>
        <v>CML DE LA FINCA UHT BS 900 GR</v>
      </c>
      <c r="G112">
        <f>VLOOKUP($C112,Hoja2!$A:$D,4,0)*D112</f>
        <v>180</v>
      </c>
      <c r="H112" t="str">
        <f>VLOOKUP(A112,Hoja2!H:J,3,0)</f>
        <v>CO11</v>
      </c>
    </row>
    <row r="113" spans="1:8" x14ac:dyDescent="0.25">
      <c r="A113">
        <v>19</v>
      </c>
      <c r="B113" t="s">
        <v>38</v>
      </c>
      <c r="C113" t="s">
        <v>28</v>
      </c>
      <c r="D113">
        <v>8</v>
      </c>
      <c r="E113" t="str">
        <f>VLOOKUP($C113,Hoja2!$A:$D,2,0)</f>
        <v>F47006</v>
      </c>
      <c r="F113" t="str">
        <f>VLOOKUP($C113,Hoja2!$A:$D,3,0)</f>
        <v>AVENA ALGARRA CANELA TB 200ML X6</v>
      </c>
      <c r="G113">
        <f>VLOOKUP($C113,Hoja2!$A:$D,4,0)*D113</f>
        <v>9.6</v>
      </c>
      <c r="H113" t="str">
        <f>VLOOKUP(A113,Hoja2!H:J,3,0)</f>
        <v>CO12</v>
      </c>
    </row>
    <row r="114" spans="1:8" x14ac:dyDescent="0.25">
      <c r="A114">
        <v>19</v>
      </c>
      <c r="B114" t="s">
        <v>38</v>
      </c>
      <c r="C114" t="s">
        <v>29</v>
      </c>
      <c r="D114">
        <v>12</v>
      </c>
      <c r="E114" t="str">
        <f>VLOOKUP($C114,Hoja2!$A:$D,2,0)</f>
        <v>F47013</v>
      </c>
      <c r="F114" t="str">
        <f>VLOOKUP($C114,Hoja2!$A:$D,3,0)</f>
        <v>AVENA ALGARRA CANELA BS 200ML 7X8</v>
      </c>
      <c r="G114">
        <f>VLOOKUP($C114,Hoja2!$A:$D,4,0)*D114</f>
        <v>19.200000000000003</v>
      </c>
      <c r="H114" t="str">
        <f>VLOOKUP(A114,Hoja2!H:J,3,0)</f>
        <v>CO12</v>
      </c>
    </row>
    <row r="115" spans="1:8" x14ac:dyDescent="0.25">
      <c r="A115">
        <v>19</v>
      </c>
      <c r="B115" t="s">
        <v>38</v>
      </c>
      <c r="C115" t="s">
        <v>30</v>
      </c>
      <c r="D115">
        <v>10</v>
      </c>
      <c r="E115" t="str">
        <f>VLOOKUP($C115,Hoja2!$A:$D,2,0)</f>
        <v>F47649</v>
      </c>
      <c r="F115" t="str">
        <f>VLOOKUP($C115,Hoja2!$A:$D,3,0)</f>
        <v>AVENA ALGARRA TRADICIONAL TB 200ML X6</v>
      </c>
      <c r="G115">
        <f>VLOOKUP($C115,Hoja2!$A:$D,4,0)*D115</f>
        <v>12</v>
      </c>
      <c r="H115" t="str">
        <f>VLOOKUP(A115,Hoja2!H:J,3,0)</f>
        <v>CO12</v>
      </c>
    </row>
    <row r="116" spans="1:8" x14ac:dyDescent="0.25">
      <c r="A116">
        <v>20</v>
      </c>
      <c r="B116" t="s">
        <v>22</v>
      </c>
      <c r="C116" t="s">
        <v>20</v>
      </c>
      <c r="D116">
        <v>24</v>
      </c>
      <c r="E116" t="str">
        <f>VLOOKUP($C116,Hoja2!$A:$D,2,0)</f>
        <v>F48668</v>
      </c>
      <c r="F116" t="str">
        <f>VLOOKUP($C116,Hoja2!$A:$D,3,0)</f>
        <v>NECTAR CALIFORNIA PERA TB 900ML</v>
      </c>
      <c r="G116">
        <f>VLOOKUP($C116,Hoja2!$A:$D,4,0)*D116</f>
        <v>21.6</v>
      </c>
      <c r="H116" t="str">
        <f>VLOOKUP(A116,Hoja2!H:J,3,0)</f>
        <v>CO02</v>
      </c>
    </row>
    <row r="117" spans="1:8" x14ac:dyDescent="0.25">
      <c r="A117">
        <v>20</v>
      </c>
      <c r="B117" t="s">
        <v>22</v>
      </c>
      <c r="C117" t="s">
        <v>23</v>
      </c>
      <c r="D117">
        <v>24</v>
      </c>
      <c r="E117" t="str">
        <f>VLOOKUP($C117,Hoja2!$A:$D,2,0)</f>
        <v>F48667</v>
      </c>
      <c r="F117" t="str">
        <f>VLOOKUP($C117,Hoja2!$A:$D,3,0)</f>
        <v>NECTAR CALIFORNIA MANZANA TB 900ML</v>
      </c>
      <c r="G117">
        <f>VLOOKUP($C117,Hoja2!$A:$D,4,0)*D117</f>
        <v>21.6</v>
      </c>
      <c r="H117" t="str">
        <f>VLOOKUP(A117,Hoja2!H:J,3,0)</f>
        <v>CO02</v>
      </c>
    </row>
    <row r="118" spans="1:8" x14ac:dyDescent="0.25">
      <c r="A118">
        <v>20</v>
      </c>
      <c r="B118" t="s">
        <v>22</v>
      </c>
      <c r="C118" t="s">
        <v>24</v>
      </c>
      <c r="D118">
        <v>100</v>
      </c>
      <c r="E118" t="str">
        <f>VLOOKUP($C118,Hoja2!$A:$D,2,0)</f>
        <v>F44225</v>
      </c>
      <c r="F118" t="str">
        <f>VLOOKUP($C118,Hoja2!$A:$D,3,0)</f>
        <v>FRESKY CALIFORNIA SUR PUN TB 200ML 10X12</v>
      </c>
      <c r="G118">
        <f>VLOOKUP($C118,Hoja2!$A:$D,4,0)*D118</f>
        <v>240</v>
      </c>
      <c r="H118" t="str">
        <f>VLOOKUP(A118,Hoja2!H:J,3,0)</f>
        <v>CO02</v>
      </c>
    </row>
    <row r="119" spans="1:8" x14ac:dyDescent="0.25">
      <c r="A119">
        <v>20</v>
      </c>
      <c r="B119" t="s">
        <v>22</v>
      </c>
      <c r="C119" t="s">
        <v>28</v>
      </c>
      <c r="D119">
        <v>8</v>
      </c>
      <c r="E119" t="str">
        <f>VLOOKUP($C119,Hoja2!$A:$D,2,0)</f>
        <v>F47006</v>
      </c>
      <c r="F119" t="str">
        <f>VLOOKUP($C119,Hoja2!$A:$D,3,0)</f>
        <v>AVENA ALGARRA CANELA TB 200ML X6</v>
      </c>
      <c r="G119">
        <f>VLOOKUP($C119,Hoja2!$A:$D,4,0)*D119</f>
        <v>9.6</v>
      </c>
      <c r="H119" t="str">
        <f>VLOOKUP(A119,Hoja2!H:J,3,0)</f>
        <v>CO02</v>
      </c>
    </row>
    <row r="120" spans="1:8" x14ac:dyDescent="0.25">
      <c r="A120">
        <v>20</v>
      </c>
      <c r="B120" t="s">
        <v>22</v>
      </c>
      <c r="C120" t="s">
        <v>29</v>
      </c>
      <c r="D120">
        <v>12</v>
      </c>
      <c r="E120" t="str">
        <f>VLOOKUP($C120,Hoja2!$A:$D,2,0)</f>
        <v>F47013</v>
      </c>
      <c r="F120" t="str">
        <f>VLOOKUP($C120,Hoja2!$A:$D,3,0)</f>
        <v>AVENA ALGARRA CANELA BS 200ML 7X8</v>
      </c>
      <c r="G120">
        <f>VLOOKUP($C120,Hoja2!$A:$D,4,0)*D120</f>
        <v>19.200000000000003</v>
      </c>
      <c r="H120" t="str">
        <f>VLOOKUP(A120,Hoja2!H:J,3,0)</f>
        <v>CO02</v>
      </c>
    </row>
    <row r="121" spans="1:8" x14ac:dyDescent="0.25">
      <c r="A121">
        <v>20</v>
      </c>
      <c r="B121" t="s">
        <v>22</v>
      </c>
      <c r="C121" t="s">
        <v>32</v>
      </c>
      <c r="D121">
        <v>40</v>
      </c>
      <c r="E121" t="str">
        <f>VLOOKUP($C121,Hoja2!$A:$D,2,0)</f>
        <v>F48025</v>
      </c>
      <c r="F121" t="str">
        <f>VLOOKUP($C121,Hoja2!$A:$D,3,0)</f>
        <v>CML CREMAX UHT BS 900 GR</v>
      </c>
      <c r="G121">
        <f>VLOOKUP($C121,Hoja2!$A:$D,4,0)*D121</f>
        <v>36</v>
      </c>
      <c r="H121" t="str">
        <f>VLOOKUP(A121,Hoja2!H:J,3,0)</f>
        <v>CO02</v>
      </c>
    </row>
    <row r="122" spans="1:8" x14ac:dyDescent="0.25">
      <c r="A122">
        <v>20</v>
      </c>
      <c r="B122" t="s">
        <v>22</v>
      </c>
      <c r="C122" t="s">
        <v>33</v>
      </c>
      <c r="D122">
        <v>30</v>
      </c>
      <c r="E122" t="str">
        <f>VLOOKUP($C122,Hoja2!$A:$D,2,0)</f>
        <v>F48010</v>
      </c>
      <c r="F122" t="str">
        <f>VLOOKUP($C122,Hoja2!$A:$D,3,0)</f>
        <v>CML DE LA FINCA UHT BS 900 GR</v>
      </c>
      <c r="G122">
        <f>VLOOKUP($C122,Hoja2!$A:$D,4,0)*D122</f>
        <v>27</v>
      </c>
      <c r="H122" t="str">
        <f>VLOOKUP(A122,Hoja2!H:J,3,0)</f>
        <v>CO02</v>
      </c>
    </row>
    <row r="123" spans="1:8" x14ac:dyDescent="0.25">
      <c r="A123">
        <v>22</v>
      </c>
      <c r="B123" t="s">
        <v>13</v>
      </c>
      <c r="C123" t="s">
        <v>8</v>
      </c>
      <c r="D123">
        <v>100</v>
      </c>
      <c r="E123" t="str">
        <f>VLOOKUP($C123,Hoja2!$A:$D,2,0)</f>
        <v>F48809</v>
      </c>
      <c r="F123" t="str">
        <f>VLOOKUP($C123,Hoja2!$A:$D,3,0)</f>
        <v>NECTAR CALIFORNIA SURTIDO TB 200ML 7X10</v>
      </c>
      <c r="G123">
        <f>VLOOKUP($C123,Hoja2!$A:$D,4,0)*D123</f>
        <v>200</v>
      </c>
      <c r="H123" t="str">
        <f>VLOOKUP(A123,Hoja2!H:J,3,0)</f>
        <v>CO07</v>
      </c>
    </row>
    <row r="124" spans="1:8" x14ac:dyDescent="0.25">
      <c r="A124">
        <v>22</v>
      </c>
      <c r="B124" t="s">
        <v>13</v>
      </c>
      <c r="C124" t="s">
        <v>16</v>
      </c>
      <c r="D124">
        <v>24</v>
      </c>
      <c r="E124" t="str">
        <f>VLOOKUP($C124,Hoja2!$A:$D,2,0)</f>
        <v>F48669</v>
      </c>
      <c r="F124" t="str">
        <f>VLOOKUP($C124,Hoja2!$A:$D,3,0)</f>
        <v>NECTAR CALIFORNIA DURAZNO TB 900ML</v>
      </c>
      <c r="G124">
        <f>VLOOKUP($C124,Hoja2!$A:$D,4,0)*D124</f>
        <v>21.6</v>
      </c>
      <c r="H124" t="str">
        <f>VLOOKUP(A124,Hoja2!H:J,3,0)</f>
        <v>CO07</v>
      </c>
    </row>
    <row r="125" spans="1:8" x14ac:dyDescent="0.25">
      <c r="A125">
        <v>22</v>
      </c>
      <c r="B125" t="s">
        <v>13</v>
      </c>
      <c r="C125" t="s">
        <v>20</v>
      </c>
      <c r="D125">
        <v>12</v>
      </c>
      <c r="E125" t="str">
        <f>VLOOKUP($C125,Hoja2!$A:$D,2,0)</f>
        <v>F48668</v>
      </c>
      <c r="F125" t="str">
        <f>VLOOKUP($C125,Hoja2!$A:$D,3,0)</f>
        <v>NECTAR CALIFORNIA PERA TB 900ML</v>
      </c>
      <c r="G125">
        <f>VLOOKUP($C125,Hoja2!$A:$D,4,0)*D125</f>
        <v>10.8</v>
      </c>
      <c r="H125" t="str">
        <f>VLOOKUP(A125,Hoja2!H:J,3,0)</f>
        <v>CO07</v>
      </c>
    </row>
    <row r="126" spans="1:8" x14ac:dyDescent="0.25">
      <c r="A126">
        <v>22</v>
      </c>
      <c r="B126" t="s">
        <v>13</v>
      </c>
      <c r="C126" t="s">
        <v>28</v>
      </c>
      <c r="D126">
        <v>8</v>
      </c>
      <c r="E126" t="str">
        <f>VLOOKUP($C126,Hoja2!$A:$D,2,0)</f>
        <v>F47006</v>
      </c>
      <c r="F126" t="str">
        <f>VLOOKUP($C126,Hoja2!$A:$D,3,0)</f>
        <v>AVENA ALGARRA CANELA TB 200ML X6</v>
      </c>
      <c r="G126">
        <f>VLOOKUP($C126,Hoja2!$A:$D,4,0)*D126</f>
        <v>9.6</v>
      </c>
      <c r="H126" t="str">
        <f>VLOOKUP(A126,Hoja2!H:J,3,0)</f>
        <v>CO07</v>
      </c>
    </row>
    <row r="127" spans="1:8" x14ac:dyDescent="0.25">
      <c r="A127">
        <v>22</v>
      </c>
      <c r="B127" t="s">
        <v>13</v>
      </c>
      <c r="C127" t="s">
        <v>30</v>
      </c>
      <c r="D127">
        <v>10</v>
      </c>
      <c r="E127" t="str">
        <f>VLOOKUP($C127,Hoja2!$A:$D,2,0)</f>
        <v>F47649</v>
      </c>
      <c r="F127" t="str">
        <f>VLOOKUP($C127,Hoja2!$A:$D,3,0)</f>
        <v>AVENA ALGARRA TRADICIONAL TB 200ML X6</v>
      </c>
      <c r="G127">
        <f>VLOOKUP($C127,Hoja2!$A:$D,4,0)*D127</f>
        <v>12</v>
      </c>
      <c r="H127" t="str">
        <f>VLOOKUP(A127,Hoja2!H:J,3,0)</f>
        <v>CO07</v>
      </c>
    </row>
    <row r="128" spans="1:8" x14ac:dyDescent="0.25">
      <c r="A128">
        <v>22</v>
      </c>
      <c r="B128" t="s">
        <v>13</v>
      </c>
      <c r="C128" t="s">
        <v>32</v>
      </c>
      <c r="D128">
        <v>50</v>
      </c>
      <c r="E128" t="str">
        <f>VLOOKUP($C128,Hoja2!$A:$D,2,0)</f>
        <v>F48025</v>
      </c>
      <c r="F128" t="str">
        <f>VLOOKUP($C128,Hoja2!$A:$D,3,0)</f>
        <v>CML CREMAX UHT BS 900 GR</v>
      </c>
      <c r="G128">
        <f>VLOOKUP($C128,Hoja2!$A:$D,4,0)*D128</f>
        <v>45</v>
      </c>
      <c r="H128" t="str">
        <f>VLOOKUP(A128,Hoja2!H:J,3,0)</f>
        <v>CO07</v>
      </c>
    </row>
    <row r="129" spans="1:8" x14ac:dyDescent="0.25">
      <c r="A129">
        <v>22</v>
      </c>
      <c r="B129" t="s">
        <v>13</v>
      </c>
      <c r="C129" t="s">
        <v>33</v>
      </c>
      <c r="D129">
        <v>50</v>
      </c>
      <c r="E129" t="str">
        <f>VLOOKUP($C129,Hoja2!$A:$D,2,0)</f>
        <v>F48010</v>
      </c>
      <c r="F129" t="str">
        <f>VLOOKUP($C129,Hoja2!$A:$D,3,0)</f>
        <v>CML DE LA FINCA UHT BS 900 GR</v>
      </c>
      <c r="G129">
        <f>VLOOKUP($C129,Hoja2!$A:$D,4,0)*D129</f>
        <v>45</v>
      </c>
      <c r="H129" t="str">
        <f>VLOOKUP(A129,Hoja2!H:J,3,0)</f>
        <v>CO07</v>
      </c>
    </row>
    <row r="130" spans="1:8" x14ac:dyDescent="0.25">
      <c r="A130">
        <v>23</v>
      </c>
      <c r="B130" t="s">
        <v>6</v>
      </c>
      <c r="C130" t="s">
        <v>4</v>
      </c>
      <c r="D130">
        <v>12</v>
      </c>
      <c r="E130" t="str">
        <f>VLOOKUP($C130,Hoja2!$A:$D,2,0)</f>
        <v>F48739</v>
      </c>
      <c r="F130" t="str">
        <f>VLOOKUP($C130,Hoja2!$A:$D,3,0)</f>
        <v>NECTAR CALIFORNIA SURT. PET X6 300 ML</v>
      </c>
      <c r="G130">
        <f>VLOOKUP($C130,Hoja2!$A:$D,4,0)*D130</f>
        <v>21.6</v>
      </c>
      <c r="H130" t="str">
        <f>VLOOKUP(A130,Hoja2!H:J,3,0)</f>
        <v>CO05</v>
      </c>
    </row>
    <row r="131" spans="1:8" x14ac:dyDescent="0.25">
      <c r="A131">
        <v>23</v>
      </c>
      <c r="B131" t="s">
        <v>6</v>
      </c>
      <c r="C131" t="s">
        <v>8</v>
      </c>
      <c r="D131">
        <v>200</v>
      </c>
      <c r="E131" t="str">
        <f>VLOOKUP($C131,Hoja2!$A:$D,2,0)</f>
        <v>F48809</v>
      </c>
      <c r="F131" t="str">
        <f>VLOOKUP($C131,Hoja2!$A:$D,3,0)</f>
        <v>NECTAR CALIFORNIA SURTIDO TB 200ML 7X10</v>
      </c>
      <c r="G131">
        <f>VLOOKUP($C131,Hoja2!$A:$D,4,0)*D131</f>
        <v>400</v>
      </c>
      <c r="H131" t="str">
        <f>VLOOKUP(A131,Hoja2!H:J,3,0)</f>
        <v>CO05</v>
      </c>
    </row>
    <row r="132" spans="1:8" x14ac:dyDescent="0.25">
      <c r="A132">
        <v>23</v>
      </c>
      <c r="B132" t="s">
        <v>6</v>
      </c>
      <c r="C132" t="s">
        <v>16</v>
      </c>
      <c r="D132">
        <v>48</v>
      </c>
      <c r="E132" t="str">
        <f>VLOOKUP($C132,Hoja2!$A:$D,2,0)</f>
        <v>F48669</v>
      </c>
      <c r="F132" t="str">
        <f>VLOOKUP($C132,Hoja2!$A:$D,3,0)</f>
        <v>NECTAR CALIFORNIA DURAZNO TB 900ML</v>
      </c>
      <c r="G132">
        <f>VLOOKUP($C132,Hoja2!$A:$D,4,0)*D132</f>
        <v>43.2</v>
      </c>
      <c r="H132" t="str">
        <f>VLOOKUP(A132,Hoja2!H:J,3,0)</f>
        <v>CO05</v>
      </c>
    </row>
    <row r="133" spans="1:8" x14ac:dyDescent="0.25">
      <c r="A133">
        <v>23</v>
      </c>
      <c r="B133" t="s">
        <v>6</v>
      </c>
      <c r="C133" t="s">
        <v>19</v>
      </c>
      <c r="D133">
        <v>12</v>
      </c>
      <c r="E133" t="str">
        <f>VLOOKUP($C133,Hoja2!$A:$D,2,0)</f>
        <v>F48670</v>
      </c>
      <c r="F133" t="str">
        <f>VLOOKUP($C133,Hoja2!$A:$D,3,0)</f>
        <v>NECTAR CALIFORNIA SURT TB 900ML X3</v>
      </c>
      <c r="G133">
        <f>VLOOKUP($C133,Hoja2!$A:$D,4,0)*D133</f>
        <v>32.400000000000006</v>
      </c>
      <c r="H133" t="str">
        <f>VLOOKUP(A133,Hoja2!H:J,3,0)</f>
        <v>CO05</v>
      </c>
    </row>
    <row r="134" spans="1:8" x14ac:dyDescent="0.25">
      <c r="A134">
        <v>23</v>
      </c>
      <c r="B134" t="s">
        <v>6</v>
      </c>
      <c r="C134" t="s">
        <v>20</v>
      </c>
      <c r="D134">
        <v>12</v>
      </c>
      <c r="E134" t="str">
        <f>VLOOKUP($C134,Hoja2!$A:$D,2,0)</f>
        <v>F48668</v>
      </c>
      <c r="F134" t="str">
        <f>VLOOKUP($C134,Hoja2!$A:$D,3,0)</f>
        <v>NECTAR CALIFORNIA PERA TB 900ML</v>
      </c>
      <c r="G134">
        <f>VLOOKUP($C134,Hoja2!$A:$D,4,0)*D134</f>
        <v>10.8</v>
      </c>
      <c r="H134" t="str">
        <f>VLOOKUP(A134,Hoja2!H:J,3,0)</f>
        <v>CO05</v>
      </c>
    </row>
    <row r="135" spans="1:8" x14ac:dyDescent="0.25">
      <c r="A135">
        <v>23</v>
      </c>
      <c r="B135" t="s">
        <v>6</v>
      </c>
      <c r="C135" t="s">
        <v>23</v>
      </c>
      <c r="D135">
        <v>24</v>
      </c>
      <c r="E135" t="str">
        <f>VLOOKUP($C135,Hoja2!$A:$D,2,0)</f>
        <v>F48667</v>
      </c>
      <c r="F135" t="str">
        <f>VLOOKUP($C135,Hoja2!$A:$D,3,0)</f>
        <v>NECTAR CALIFORNIA MANZANA TB 900ML</v>
      </c>
      <c r="G135">
        <f>VLOOKUP($C135,Hoja2!$A:$D,4,0)*D135</f>
        <v>21.6</v>
      </c>
      <c r="H135" t="str">
        <f>VLOOKUP(A135,Hoja2!H:J,3,0)</f>
        <v>CO05</v>
      </c>
    </row>
    <row r="136" spans="1:8" x14ac:dyDescent="0.25">
      <c r="A136">
        <v>23</v>
      </c>
      <c r="B136" t="s">
        <v>6</v>
      </c>
      <c r="C136" t="s">
        <v>25</v>
      </c>
      <c r="D136">
        <v>10</v>
      </c>
      <c r="E136" t="str">
        <f>VLOOKUP($C136,Hoja2!$A:$D,2,0)</f>
        <v>F44226</v>
      </c>
      <c r="F136" t="str">
        <f>VLOOKUP($C136,Hoja2!$A:$D,3,0)</f>
        <v>TE CALIFORNIA SURTIDO 200 ML TB X6</v>
      </c>
      <c r="G136">
        <f>VLOOKUP($C136,Hoja2!$A:$D,4,0)*D136</f>
        <v>12</v>
      </c>
      <c r="H136" t="str">
        <f>VLOOKUP(A136,Hoja2!H:J,3,0)</f>
        <v>CO05</v>
      </c>
    </row>
    <row r="137" spans="1:8" x14ac:dyDescent="0.25">
      <c r="A137">
        <v>23</v>
      </c>
      <c r="B137" t="s">
        <v>6</v>
      </c>
      <c r="C137" t="s">
        <v>29</v>
      </c>
      <c r="D137">
        <v>12</v>
      </c>
      <c r="E137" t="str">
        <f>VLOOKUP($C137,Hoja2!$A:$D,2,0)</f>
        <v>F47013</v>
      </c>
      <c r="F137" t="str">
        <f>VLOOKUP($C137,Hoja2!$A:$D,3,0)</f>
        <v>AVENA ALGARRA CANELA BS 200ML 7X8</v>
      </c>
      <c r="G137">
        <f>VLOOKUP($C137,Hoja2!$A:$D,4,0)*D137</f>
        <v>19.200000000000003</v>
      </c>
      <c r="H137" t="str">
        <f>VLOOKUP(A137,Hoja2!H:J,3,0)</f>
        <v>CO05</v>
      </c>
    </row>
    <row r="138" spans="1:8" x14ac:dyDescent="0.25">
      <c r="A138">
        <v>23</v>
      </c>
      <c r="B138" t="s">
        <v>6</v>
      </c>
      <c r="C138" t="s">
        <v>33</v>
      </c>
      <c r="D138">
        <v>50</v>
      </c>
      <c r="E138" t="str">
        <f>VLOOKUP($C138,Hoja2!$A:$D,2,0)</f>
        <v>F48010</v>
      </c>
      <c r="F138" t="str">
        <f>VLOOKUP($C138,Hoja2!$A:$D,3,0)</f>
        <v>CML DE LA FINCA UHT BS 900 GR</v>
      </c>
      <c r="G138">
        <f>VLOOKUP($C138,Hoja2!$A:$D,4,0)*D138</f>
        <v>45</v>
      </c>
      <c r="H138" t="str">
        <f>VLOOKUP(A138,Hoja2!H:J,3,0)</f>
        <v>CO05</v>
      </c>
    </row>
  </sheetData>
  <autoFilter ref="A1:D138" xr:uid="{433A58B5-3F4E-4042-892B-D2B21B9B65B0}">
    <sortState xmlns:xlrd2="http://schemas.microsoft.com/office/spreadsheetml/2017/richdata2" ref="A2:D138">
      <sortCondition ref="A1:A13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706D-9C1D-49EE-BC83-139634E69919}">
  <dimension ref="A1:J22"/>
  <sheetViews>
    <sheetView workbookViewId="0">
      <selection activeCell="I7" sqref="I7"/>
    </sheetView>
  </sheetViews>
  <sheetFormatPr baseColWidth="10" defaultRowHeight="15" x14ac:dyDescent="0.25"/>
  <cols>
    <col min="1" max="1" width="50.140625" bestFit="1" customWidth="1"/>
    <col min="3" max="3" width="41" bestFit="1" customWidth="1"/>
    <col min="4" max="4" width="11.42578125" style="1"/>
    <col min="8" max="8" width="7" bestFit="1" customWidth="1"/>
    <col min="9" max="9" width="18.7109375" bestFit="1" customWidth="1"/>
  </cols>
  <sheetData>
    <row r="1" spans="1:10" x14ac:dyDescent="0.25">
      <c r="A1" t="s">
        <v>2</v>
      </c>
      <c r="B1" t="s">
        <v>42</v>
      </c>
      <c r="C1" t="s">
        <v>58</v>
      </c>
      <c r="D1" s="1" t="s">
        <v>39</v>
      </c>
      <c r="H1" t="s">
        <v>0</v>
      </c>
      <c r="I1" t="s">
        <v>1</v>
      </c>
      <c r="J1" t="s">
        <v>96</v>
      </c>
    </row>
    <row r="2" spans="1:10" x14ac:dyDescent="0.25">
      <c r="A2" t="s">
        <v>24</v>
      </c>
      <c r="B2" t="s">
        <v>49</v>
      </c>
      <c r="C2" t="s">
        <v>59</v>
      </c>
      <c r="D2" s="1">
        <v>2.4</v>
      </c>
      <c r="H2">
        <v>1</v>
      </c>
      <c r="I2" t="s">
        <v>75</v>
      </c>
      <c r="J2" t="s">
        <v>97</v>
      </c>
    </row>
    <row r="3" spans="1:10" x14ac:dyDescent="0.25">
      <c r="A3" t="s">
        <v>25</v>
      </c>
      <c r="B3" t="s">
        <v>57</v>
      </c>
      <c r="C3" t="s">
        <v>60</v>
      </c>
      <c r="D3" s="1">
        <v>1.2</v>
      </c>
      <c r="H3">
        <v>2</v>
      </c>
      <c r="I3" t="s">
        <v>76</v>
      </c>
      <c r="J3" t="s">
        <v>97</v>
      </c>
    </row>
    <row r="4" spans="1:10" x14ac:dyDescent="0.25">
      <c r="A4" t="s">
        <v>28</v>
      </c>
      <c r="B4" t="s">
        <v>43</v>
      </c>
      <c r="C4" t="s">
        <v>61</v>
      </c>
      <c r="D4" s="1">
        <v>1.2</v>
      </c>
      <c r="H4">
        <v>8</v>
      </c>
      <c r="I4" t="s">
        <v>81</v>
      </c>
      <c r="J4" t="s">
        <v>97</v>
      </c>
    </row>
    <row r="5" spans="1:10" x14ac:dyDescent="0.25">
      <c r="A5" t="s">
        <v>29</v>
      </c>
      <c r="B5" t="s">
        <v>44</v>
      </c>
      <c r="C5" t="s">
        <v>62</v>
      </c>
      <c r="D5" s="1">
        <v>1.6</v>
      </c>
      <c r="H5">
        <v>20</v>
      </c>
      <c r="I5" t="s">
        <v>92</v>
      </c>
      <c r="J5" t="s">
        <v>97</v>
      </c>
    </row>
    <row r="6" spans="1:10" x14ac:dyDescent="0.25">
      <c r="A6" t="s">
        <v>31</v>
      </c>
      <c r="B6" t="s">
        <v>46</v>
      </c>
      <c r="C6" t="s">
        <v>63</v>
      </c>
      <c r="D6" s="1">
        <v>1.6</v>
      </c>
      <c r="H6">
        <v>17</v>
      </c>
      <c r="I6" t="s">
        <v>89</v>
      </c>
      <c r="J6" t="s">
        <v>108</v>
      </c>
    </row>
    <row r="7" spans="1:10" x14ac:dyDescent="0.25">
      <c r="A7" t="s">
        <v>30</v>
      </c>
      <c r="B7" t="s">
        <v>45</v>
      </c>
      <c r="C7" t="s">
        <v>64</v>
      </c>
      <c r="D7" s="1">
        <v>1.2</v>
      </c>
      <c r="H7">
        <v>12</v>
      </c>
      <c r="I7" t="s">
        <v>85</v>
      </c>
      <c r="J7" t="s">
        <v>104</v>
      </c>
    </row>
    <row r="8" spans="1:10" x14ac:dyDescent="0.25">
      <c r="A8" t="s">
        <v>33</v>
      </c>
      <c r="B8" t="s">
        <v>48</v>
      </c>
      <c r="C8" t="s">
        <v>65</v>
      </c>
      <c r="D8" s="1">
        <v>0.9</v>
      </c>
      <c r="H8">
        <v>4</v>
      </c>
      <c r="I8" t="s">
        <v>78</v>
      </c>
      <c r="J8" t="s">
        <v>99</v>
      </c>
    </row>
    <row r="9" spans="1:10" x14ac:dyDescent="0.25">
      <c r="A9" t="s">
        <v>32</v>
      </c>
      <c r="B9" t="s">
        <v>47</v>
      </c>
      <c r="C9" t="s">
        <v>66</v>
      </c>
      <c r="D9" s="1">
        <v>0.9</v>
      </c>
      <c r="H9">
        <v>11</v>
      </c>
      <c r="I9" t="s">
        <v>84</v>
      </c>
      <c r="J9" t="s">
        <v>99</v>
      </c>
    </row>
    <row r="10" spans="1:10" x14ac:dyDescent="0.25">
      <c r="A10" t="s">
        <v>15</v>
      </c>
      <c r="B10" t="s">
        <v>52</v>
      </c>
      <c r="C10" t="s">
        <v>67</v>
      </c>
      <c r="D10" s="1">
        <v>0.9</v>
      </c>
      <c r="H10">
        <v>23</v>
      </c>
      <c r="I10" t="s">
        <v>94</v>
      </c>
      <c r="J10" t="s">
        <v>99</v>
      </c>
    </row>
    <row r="11" spans="1:10" x14ac:dyDescent="0.25">
      <c r="A11" t="s">
        <v>23</v>
      </c>
      <c r="B11" t="s">
        <v>51</v>
      </c>
      <c r="C11" t="s">
        <v>68</v>
      </c>
      <c r="D11" s="1">
        <v>0.9</v>
      </c>
      <c r="H11">
        <v>16</v>
      </c>
      <c r="I11" t="s">
        <v>88</v>
      </c>
      <c r="J11" t="s">
        <v>107</v>
      </c>
    </row>
    <row r="12" spans="1:10" x14ac:dyDescent="0.25">
      <c r="A12" t="s">
        <v>20</v>
      </c>
      <c r="B12" t="s">
        <v>53</v>
      </c>
      <c r="C12" t="s">
        <v>69</v>
      </c>
      <c r="D12" s="1">
        <v>0.9</v>
      </c>
      <c r="H12">
        <v>22</v>
      </c>
      <c r="I12" t="s">
        <v>93</v>
      </c>
      <c r="J12" t="s">
        <v>110</v>
      </c>
    </row>
    <row r="13" spans="1:10" x14ac:dyDescent="0.25">
      <c r="A13" t="s">
        <v>16</v>
      </c>
      <c r="B13" t="s">
        <v>50</v>
      </c>
      <c r="C13" t="s">
        <v>70</v>
      </c>
      <c r="D13" s="1">
        <v>0.9</v>
      </c>
      <c r="H13">
        <v>14</v>
      </c>
      <c r="I13" t="s">
        <v>86</v>
      </c>
      <c r="J13" t="s">
        <v>105</v>
      </c>
    </row>
    <row r="14" spans="1:10" x14ac:dyDescent="0.25">
      <c r="A14" t="s">
        <v>19</v>
      </c>
      <c r="B14" t="s">
        <v>56</v>
      </c>
      <c r="C14" t="s">
        <v>71</v>
      </c>
      <c r="D14" s="1">
        <v>2.7</v>
      </c>
      <c r="H14">
        <v>10</v>
      </c>
      <c r="I14" t="s">
        <v>83</v>
      </c>
      <c r="J14" t="s">
        <v>103</v>
      </c>
    </row>
    <row r="15" spans="1:10" x14ac:dyDescent="0.25">
      <c r="A15" t="s">
        <v>4</v>
      </c>
      <c r="B15" t="s">
        <v>55</v>
      </c>
      <c r="C15" t="s">
        <v>72</v>
      </c>
      <c r="D15" s="1">
        <v>1.8</v>
      </c>
      <c r="H15">
        <v>5</v>
      </c>
      <c r="I15" t="s">
        <v>79</v>
      </c>
      <c r="J15" t="s">
        <v>100</v>
      </c>
    </row>
    <row r="16" spans="1:10" x14ac:dyDescent="0.25">
      <c r="A16" t="s">
        <v>8</v>
      </c>
      <c r="B16" t="s">
        <v>54</v>
      </c>
      <c r="C16" t="s">
        <v>73</v>
      </c>
      <c r="D16" s="1">
        <v>2</v>
      </c>
      <c r="H16">
        <v>18</v>
      </c>
      <c r="I16" t="s">
        <v>90</v>
      </c>
      <c r="J16" t="s">
        <v>100</v>
      </c>
    </row>
    <row r="17" spans="8:10" x14ac:dyDescent="0.25">
      <c r="H17">
        <v>19</v>
      </c>
      <c r="I17" t="s">
        <v>91</v>
      </c>
      <c r="J17" t="s">
        <v>109</v>
      </c>
    </row>
    <row r="18" spans="8:10" x14ac:dyDescent="0.25">
      <c r="H18">
        <v>15</v>
      </c>
      <c r="I18" t="s">
        <v>87</v>
      </c>
      <c r="J18" t="s">
        <v>106</v>
      </c>
    </row>
    <row r="19" spans="8:10" x14ac:dyDescent="0.25">
      <c r="H19">
        <v>3</v>
      </c>
      <c r="I19" t="s">
        <v>77</v>
      </c>
      <c r="J19" t="s">
        <v>98</v>
      </c>
    </row>
    <row r="20" spans="8:10" x14ac:dyDescent="0.25">
      <c r="H20">
        <v>13</v>
      </c>
      <c r="I20" t="s">
        <v>95</v>
      </c>
      <c r="J20" t="s">
        <v>98</v>
      </c>
    </row>
    <row r="21" spans="8:10" x14ac:dyDescent="0.25">
      <c r="H21">
        <v>7</v>
      </c>
      <c r="I21" t="s">
        <v>80</v>
      </c>
      <c r="J21" t="s">
        <v>101</v>
      </c>
    </row>
    <row r="22" spans="8:10" x14ac:dyDescent="0.25">
      <c r="H22">
        <v>9</v>
      </c>
      <c r="I22" t="s">
        <v>82</v>
      </c>
      <c r="J22" t="s">
        <v>102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e6ee7a-2d7e-48ed-ac63-62ab67beeece}" enabled="1" method="Standard" siteId="{1b36e0d3-47eb-47fc-af0d-153fb00dcd5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Ardila Diaz, Brando Yobany (Gloria Colombia S.A.S)</dc:creator>
  <cp:lastModifiedBy>Ardila Diaz, Brando Yobany (Gloria Colombia S.A.S)</cp:lastModifiedBy>
  <dcterms:created xsi:type="dcterms:W3CDTF">2026-02-18T22:31:44Z</dcterms:created>
  <dcterms:modified xsi:type="dcterms:W3CDTF">2026-02-18T22:52:03Z</dcterms:modified>
</cp:coreProperties>
</file>